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mp\www\redfox\app\webroot\img\assessments\"/>
    </mc:Choice>
  </mc:AlternateContent>
  <xr:revisionPtr revIDLastSave="0" documentId="13_ncr:1_{B9647AA3-BD71-4C7D-BED1-C4A5586BD86B}" xr6:coauthVersionLast="45" xr6:coauthVersionMax="45" xr10:uidLastSave="{00000000-0000-0000-0000-000000000000}"/>
  <bookViews>
    <workbookView xWindow="-120" yWindow="-120" windowWidth="20730" windowHeight="11160" tabRatio="802" activeTab="1" xr2:uid="{00000000-000D-0000-FFFF-FFFF00000000}"/>
  </bookViews>
  <sheets>
    <sheet name="G-1A Ass" sheetId="1" r:id="rId1"/>
    <sheet name="G.1B Assis" sheetId="100" r:id="rId2"/>
    <sheet name="G.2A Assis " sheetId="102" r:id="rId3"/>
    <sheet name="G.2B Assis " sheetId="103" r:id="rId4"/>
    <sheet name="G.3A Assis " sheetId="105" r:id="rId5"/>
    <sheet name="G.3B Assis" sheetId="106" r:id="rId6"/>
    <sheet name="G.4A Assis" sheetId="107" r:id="rId7"/>
    <sheet name="G.4B Assis " sheetId="108" r:id="rId8"/>
    <sheet name="G.5A Assis  " sheetId="109" r:id="rId9"/>
    <sheet name="G.5B Assis " sheetId="110" r:id="rId10"/>
    <sheet name="G.6A Assis " sheetId="111" r:id="rId11"/>
    <sheet name="G.6B Assis " sheetId="112" r:id="rId12"/>
    <sheet name="G.7A Assis" sheetId="113" r:id="rId13"/>
    <sheet name="G.7B Assis " sheetId="114" r:id="rId14"/>
    <sheet name="G.8 Assis" sheetId="115" r:id="rId15"/>
    <sheet name="G.9 Assis " sheetId="116" r:id="rId16"/>
    <sheet name="G.10 Assis " sheetId="117" r:id="rId17"/>
    <sheet name="G.11(Social) Assis " sheetId="118" r:id="rId18"/>
    <sheet name="G.11(Natural) Assis" sheetId="119" r:id="rId19"/>
    <sheet name="G.12 Assis " sheetId="120" r:id="rId20"/>
    <sheet name="G.AS LEVEL ASSIS" sheetId="121" r:id="rId21"/>
    <sheet name="G.IGCSE ASSIS" sheetId="122" r:id="rId22"/>
  </sheets>
  <definedNames>
    <definedName name="_xlnm._FilterDatabase" localSheetId="16" hidden="1">'G.10 Assis '!$A$1:$D$28</definedName>
    <definedName name="_xlnm._FilterDatabase" localSheetId="18" hidden="1">'G.11(Natural) Assis'!$A$1:$D$24</definedName>
    <definedName name="_xlnm._FilterDatabase" localSheetId="17" hidden="1">'G.11(Social) Assis '!$A$1:$D$20</definedName>
    <definedName name="_xlnm._FilterDatabase" localSheetId="19" hidden="1">'G.12 Assis '!$A$1:$D$28</definedName>
    <definedName name="_xlnm._FilterDatabase" localSheetId="1" hidden="1">'G.1B Assis'!$A$1:$D$56</definedName>
    <definedName name="_xlnm._FilterDatabase" localSheetId="2" hidden="1">'G.2A Assis '!$A$1:$D$53</definedName>
    <definedName name="_xlnm._FilterDatabase" localSheetId="3" hidden="1">'G.2B Assis '!$A$1:$D$57</definedName>
    <definedName name="_xlnm._FilterDatabase" localSheetId="4" hidden="1">'G.3A Assis '!$A$1:$D$57</definedName>
    <definedName name="_xlnm._FilterDatabase" localSheetId="5" hidden="1">'G.3B Assis'!$A$1:$D$53</definedName>
    <definedName name="_xlnm._FilterDatabase" localSheetId="6" hidden="1">'G.4A Assis'!$A$1:$D$55</definedName>
    <definedName name="_xlnm._FilterDatabase" localSheetId="7" hidden="1">'G.4B Assis '!$A$1:$D$51</definedName>
    <definedName name="_xlnm._FilterDatabase" localSheetId="8" hidden="1">'G.5A Assis  '!$A$1:$D$40</definedName>
    <definedName name="_xlnm._FilterDatabase" localSheetId="9" hidden="1">'G.5B Assis '!$A$1:$D$34</definedName>
    <definedName name="_xlnm._FilterDatabase" localSheetId="10" hidden="1">'G.6A Assis '!$A$1:$D$34</definedName>
    <definedName name="_xlnm._FilterDatabase" localSheetId="11" hidden="1">'G.6B Assis '!$A$1:$D$34</definedName>
    <definedName name="_xlnm._FilterDatabase" localSheetId="12" hidden="1">'G.7A Assis'!$A$1:$D$34</definedName>
    <definedName name="_xlnm._FilterDatabase" localSheetId="13" hidden="1">'G.7B Assis '!$A$1:$D$34</definedName>
    <definedName name="_xlnm._FilterDatabase" localSheetId="14" hidden="1">'G.8 Assis'!$A$1:$D$34</definedName>
    <definedName name="_xlnm._FilterDatabase" localSheetId="15" hidden="1">'G.9 Assis '!$A$1:$D$34</definedName>
    <definedName name="_xlnm._FilterDatabase" localSheetId="20" hidden="1">'G.AS LEVEL ASSIS'!$A$1:$C$10</definedName>
    <definedName name="_xlnm._FilterDatabase" localSheetId="21" hidden="1">'G.IGCSE ASSIS'!$A$1:$C$8</definedName>
    <definedName name="_xlnm._FilterDatabase" localSheetId="0" hidden="1">'G-1A Ass'!$A$1:$D$56</definedName>
    <definedName name="_xlnm.Print_Titles" localSheetId="1">'G.1B Assis'!$3:$3</definedName>
    <definedName name="_xlnm.Print_Titles" localSheetId="2">'G.2A Assis '!$3:$3</definedName>
    <definedName name="_xlnm.Print_Titles" localSheetId="3">'G.2B Assis '!$3:$3</definedName>
    <definedName name="_xlnm.Print_Titles" localSheetId="4">'G.3A Assis '!$3:$3</definedName>
    <definedName name="_xlnm.Print_Titles" localSheetId="5">'G.3B Assis'!$3:$3</definedName>
    <definedName name="_xlnm.Print_Titles" localSheetId="6">'G.4A Assis'!$3:$3</definedName>
    <definedName name="_xlnm.Print_Titles" localSheetId="7">'G.4B Assis '!$3:$3</definedName>
    <definedName name="_xlnm.Print_Titles" localSheetId="8">'G.5A Assis  '!$3:$3</definedName>
    <definedName name="_xlnm.Print_Titles" localSheetId="9">'G.5B Assis '!$3:$3</definedName>
    <definedName name="_xlnm.Print_Titles" localSheetId="10">'G.6A Assis '!$3:$3</definedName>
    <definedName name="_xlnm.Print_Titles" localSheetId="11">'G.6B Assis '!$3:$3</definedName>
    <definedName name="_xlnm.Print_Titles" localSheetId="12">'G.7A Assis'!$3:$3</definedName>
    <definedName name="_xlnm.Print_Titles" localSheetId="14">'G.8 Assis'!$3:$3</definedName>
    <definedName name="_xlnm.Print_Titles" localSheetId="15">'G.9 Assis '!$3:$3</definedName>
    <definedName name="_xlnm.Print_Titles" localSheetId="0">'G-1A Ass'!$3:$3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3" i="116" l="1"/>
  <c r="O33" i="116"/>
  <c r="N33" i="116"/>
  <c r="M33" i="116"/>
  <c r="L33" i="116"/>
  <c r="K33" i="116"/>
  <c r="J33" i="116"/>
  <c r="I33" i="116"/>
  <c r="H33" i="116"/>
  <c r="G33" i="116"/>
  <c r="F33" i="116"/>
  <c r="E33" i="116"/>
  <c r="E17" i="120" l="1"/>
  <c r="P38" i="113" l="1"/>
  <c r="P6" i="107" l="1"/>
  <c r="P8" i="107"/>
  <c r="P10" i="107"/>
  <c r="P12" i="107"/>
  <c r="P14" i="107"/>
  <c r="P16" i="107"/>
  <c r="P18" i="107"/>
  <c r="P20" i="107"/>
  <c r="P22" i="107"/>
  <c r="P24" i="107"/>
  <c r="P26" i="107"/>
  <c r="P28" i="107"/>
  <c r="P30" i="107"/>
  <c r="P32" i="107"/>
  <c r="P34" i="107"/>
  <c r="P36" i="107"/>
  <c r="P38" i="107"/>
  <c r="P40" i="107"/>
  <c r="P42" i="107"/>
  <c r="P44" i="107"/>
  <c r="P46" i="107"/>
  <c r="P48" i="107"/>
  <c r="P50" i="107"/>
  <c r="P52" i="107"/>
  <c r="P54" i="107"/>
  <c r="P4" i="107"/>
  <c r="M5" i="112"/>
  <c r="O53" i="106" l="1"/>
  <c r="O51" i="106"/>
  <c r="O49" i="106"/>
  <c r="O47" i="106"/>
  <c r="O45" i="106"/>
  <c r="O43" i="106"/>
  <c r="O41" i="106"/>
  <c r="O39" i="106"/>
  <c r="O37" i="106"/>
  <c r="O35" i="106"/>
  <c r="O33" i="106"/>
  <c r="O31" i="106"/>
  <c r="O29" i="106"/>
  <c r="O27" i="106"/>
  <c r="O25" i="106"/>
  <c r="O23" i="106"/>
  <c r="O21" i="106"/>
  <c r="O19" i="106"/>
  <c r="O17" i="106"/>
  <c r="O15" i="106"/>
  <c r="O13" i="106"/>
  <c r="O11" i="106"/>
  <c r="O9" i="106"/>
  <c r="O7" i="106"/>
  <c r="O5" i="106"/>
  <c r="O16" i="120" l="1"/>
  <c r="O12" i="120"/>
  <c r="L6" i="122"/>
  <c r="K7" i="122"/>
  <c r="J7" i="122"/>
  <c r="K9" i="122"/>
  <c r="J9" i="122"/>
  <c r="I9" i="122"/>
  <c r="H9" i="122"/>
  <c r="G9" i="122"/>
  <c r="F9" i="122"/>
  <c r="E9" i="122"/>
  <c r="D9" i="122"/>
  <c r="K5" i="122"/>
  <c r="J5" i="122"/>
  <c r="I5" i="122"/>
  <c r="H5" i="122"/>
  <c r="G5" i="122"/>
  <c r="F5" i="122"/>
  <c r="E5" i="122"/>
  <c r="D5" i="122"/>
  <c r="L8" i="122"/>
  <c r="L4" i="122"/>
  <c r="I11" i="121"/>
  <c r="H11" i="121"/>
  <c r="G11" i="121"/>
  <c r="F11" i="121"/>
  <c r="E11" i="121"/>
  <c r="D11" i="121"/>
  <c r="I9" i="121"/>
  <c r="H9" i="121"/>
  <c r="G9" i="121"/>
  <c r="F9" i="121"/>
  <c r="E9" i="121"/>
  <c r="D9" i="121"/>
  <c r="I7" i="121"/>
  <c r="H7" i="121"/>
  <c r="G7" i="121"/>
  <c r="F7" i="121"/>
  <c r="E7" i="121"/>
  <c r="D7" i="121"/>
  <c r="I5" i="121"/>
  <c r="H5" i="121"/>
  <c r="G5" i="121"/>
  <c r="F5" i="121"/>
  <c r="E5" i="121"/>
  <c r="D5" i="121"/>
  <c r="J6" i="121"/>
  <c r="J8" i="121"/>
  <c r="J10" i="121"/>
  <c r="J4" i="121"/>
  <c r="N31" i="120"/>
  <c r="M31" i="120"/>
  <c r="L31" i="120"/>
  <c r="K31" i="120"/>
  <c r="J31" i="120"/>
  <c r="I31" i="120"/>
  <c r="H31" i="120"/>
  <c r="G31" i="120"/>
  <c r="F31" i="120"/>
  <c r="E31" i="120"/>
  <c r="N29" i="120"/>
  <c r="M29" i="120"/>
  <c r="L29" i="120"/>
  <c r="K29" i="120"/>
  <c r="J29" i="120"/>
  <c r="I29" i="120"/>
  <c r="H29" i="120"/>
  <c r="G29" i="120"/>
  <c r="F29" i="120"/>
  <c r="E29" i="120"/>
  <c r="N27" i="120"/>
  <c r="M27" i="120"/>
  <c r="L27" i="120"/>
  <c r="K27" i="120"/>
  <c r="J27" i="120"/>
  <c r="I27" i="120"/>
  <c r="H27" i="120"/>
  <c r="G27" i="120"/>
  <c r="F27" i="120"/>
  <c r="E27" i="120"/>
  <c r="N25" i="120"/>
  <c r="M25" i="120"/>
  <c r="L25" i="120"/>
  <c r="K25" i="120"/>
  <c r="J25" i="120"/>
  <c r="I25" i="120"/>
  <c r="H25" i="120"/>
  <c r="G25" i="120"/>
  <c r="E25" i="120"/>
  <c r="N23" i="120"/>
  <c r="M23" i="120"/>
  <c r="L23" i="120"/>
  <c r="K23" i="120"/>
  <c r="J23" i="120"/>
  <c r="I23" i="120"/>
  <c r="H23" i="120"/>
  <c r="G23" i="120"/>
  <c r="E23" i="120"/>
  <c r="N21" i="120"/>
  <c r="M21" i="120"/>
  <c r="L21" i="120"/>
  <c r="K21" i="120"/>
  <c r="J21" i="120"/>
  <c r="I21" i="120"/>
  <c r="H21" i="120"/>
  <c r="G21" i="120"/>
  <c r="F21" i="120"/>
  <c r="E21" i="120"/>
  <c r="N19" i="120"/>
  <c r="M19" i="120"/>
  <c r="L19" i="120"/>
  <c r="K19" i="120"/>
  <c r="J19" i="120"/>
  <c r="I19" i="120"/>
  <c r="H19" i="120"/>
  <c r="G19" i="120"/>
  <c r="F19" i="120"/>
  <c r="E19" i="120"/>
  <c r="N17" i="120"/>
  <c r="M17" i="120"/>
  <c r="L17" i="120"/>
  <c r="K17" i="120"/>
  <c r="J17" i="120"/>
  <c r="I17" i="120"/>
  <c r="H17" i="120"/>
  <c r="G17" i="120"/>
  <c r="F17" i="120"/>
  <c r="N15" i="120"/>
  <c r="M15" i="120"/>
  <c r="L15" i="120"/>
  <c r="K15" i="120"/>
  <c r="J15" i="120"/>
  <c r="I15" i="120"/>
  <c r="H15" i="120"/>
  <c r="G15" i="120"/>
  <c r="F15" i="120"/>
  <c r="E15" i="120"/>
  <c r="N13" i="120"/>
  <c r="M13" i="120"/>
  <c r="L13" i="120"/>
  <c r="K13" i="120"/>
  <c r="J13" i="120"/>
  <c r="I13" i="120"/>
  <c r="H13" i="120"/>
  <c r="G13" i="120"/>
  <c r="E13" i="120"/>
  <c r="N11" i="120"/>
  <c r="M11" i="120"/>
  <c r="L11" i="120"/>
  <c r="K11" i="120"/>
  <c r="J11" i="120"/>
  <c r="I11" i="120"/>
  <c r="H11" i="120"/>
  <c r="G11" i="120"/>
  <c r="F11" i="120"/>
  <c r="E11" i="120"/>
  <c r="N9" i="120"/>
  <c r="M9" i="120"/>
  <c r="L9" i="120"/>
  <c r="K9" i="120"/>
  <c r="J9" i="120"/>
  <c r="I9" i="120"/>
  <c r="H9" i="120"/>
  <c r="G9" i="120"/>
  <c r="F9" i="120"/>
  <c r="E9" i="120"/>
  <c r="N7" i="120"/>
  <c r="M7" i="120"/>
  <c r="L7" i="120"/>
  <c r="K7" i="120"/>
  <c r="J7" i="120"/>
  <c r="I7" i="120"/>
  <c r="H7" i="120"/>
  <c r="G7" i="120"/>
  <c r="F7" i="120"/>
  <c r="E7" i="120"/>
  <c r="N5" i="120"/>
  <c r="M5" i="120"/>
  <c r="L5" i="120"/>
  <c r="K5" i="120"/>
  <c r="J5" i="120"/>
  <c r="I5" i="120"/>
  <c r="H5" i="120"/>
  <c r="G5" i="120"/>
  <c r="F5" i="120"/>
  <c r="E5" i="120"/>
  <c r="O6" i="120"/>
  <c r="O8" i="120"/>
  <c r="O10" i="120"/>
  <c r="O14" i="120"/>
  <c r="O18" i="120"/>
  <c r="O20" i="120"/>
  <c r="O22" i="120"/>
  <c r="O24" i="120"/>
  <c r="O26" i="120"/>
  <c r="O28" i="120"/>
  <c r="O30" i="120"/>
  <c r="O4" i="120"/>
  <c r="N25" i="119"/>
  <c r="M25" i="119"/>
  <c r="L25" i="119"/>
  <c r="K25" i="119"/>
  <c r="J25" i="119"/>
  <c r="I25" i="119"/>
  <c r="H25" i="119"/>
  <c r="G25" i="119"/>
  <c r="F25" i="119"/>
  <c r="E25" i="119"/>
  <c r="N23" i="119"/>
  <c r="M23" i="119"/>
  <c r="L23" i="119"/>
  <c r="K23" i="119"/>
  <c r="J23" i="119"/>
  <c r="I23" i="119"/>
  <c r="H23" i="119"/>
  <c r="G23" i="119"/>
  <c r="F23" i="119"/>
  <c r="E23" i="119"/>
  <c r="N21" i="119"/>
  <c r="M21" i="119"/>
  <c r="L21" i="119"/>
  <c r="K21" i="119"/>
  <c r="J21" i="119"/>
  <c r="I21" i="119"/>
  <c r="H21" i="119"/>
  <c r="G21" i="119"/>
  <c r="F21" i="119"/>
  <c r="E21" i="119"/>
  <c r="N19" i="119"/>
  <c r="M19" i="119"/>
  <c r="L19" i="119"/>
  <c r="K19" i="119"/>
  <c r="J19" i="119"/>
  <c r="I19" i="119"/>
  <c r="H19" i="119"/>
  <c r="G19" i="119"/>
  <c r="F19" i="119"/>
  <c r="E19" i="119"/>
  <c r="N17" i="119"/>
  <c r="M17" i="119"/>
  <c r="L17" i="119"/>
  <c r="K17" i="119"/>
  <c r="J17" i="119"/>
  <c r="I17" i="119"/>
  <c r="H17" i="119"/>
  <c r="G17" i="119"/>
  <c r="F17" i="119"/>
  <c r="E17" i="119"/>
  <c r="N15" i="119"/>
  <c r="M15" i="119"/>
  <c r="L15" i="119"/>
  <c r="K15" i="119"/>
  <c r="J15" i="119"/>
  <c r="I15" i="119"/>
  <c r="H15" i="119"/>
  <c r="G15" i="119"/>
  <c r="F15" i="119"/>
  <c r="E15" i="119"/>
  <c r="N13" i="119"/>
  <c r="M13" i="119"/>
  <c r="L13" i="119"/>
  <c r="K13" i="119"/>
  <c r="J13" i="119"/>
  <c r="I13" i="119"/>
  <c r="H13" i="119"/>
  <c r="G13" i="119"/>
  <c r="F13" i="119"/>
  <c r="E13" i="119"/>
  <c r="N11" i="119"/>
  <c r="M11" i="119"/>
  <c r="L11" i="119"/>
  <c r="K11" i="119"/>
  <c r="J11" i="119"/>
  <c r="I11" i="119"/>
  <c r="H11" i="119"/>
  <c r="G11" i="119"/>
  <c r="F11" i="119"/>
  <c r="E11" i="119"/>
  <c r="N9" i="119"/>
  <c r="M9" i="119"/>
  <c r="L9" i="119"/>
  <c r="K9" i="119"/>
  <c r="J9" i="119"/>
  <c r="I9" i="119"/>
  <c r="H9" i="119"/>
  <c r="G9" i="119"/>
  <c r="F9" i="119"/>
  <c r="E9" i="119"/>
  <c r="N7" i="119"/>
  <c r="M7" i="119"/>
  <c r="L7" i="119"/>
  <c r="K7" i="119"/>
  <c r="J7" i="119"/>
  <c r="I7" i="119"/>
  <c r="H7" i="119"/>
  <c r="G7" i="119"/>
  <c r="F7" i="119"/>
  <c r="E7" i="119"/>
  <c r="N5" i="119"/>
  <c r="M5" i="119"/>
  <c r="L5" i="119"/>
  <c r="K5" i="119"/>
  <c r="J5" i="119"/>
  <c r="I5" i="119"/>
  <c r="H5" i="119"/>
  <c r="G5" i="119"/>
  <c r="F5" i="119"/>
  <c r="E5" i="119"/>
  <c r="O6" i="119"/>
  <c r="O8" i="119"/>
  <c r="O10" i="119"/>
  <c r="O12" i="119"/>
  <c r="O14" i="119"/>
  <c r="O16" i="119"/>
  <c r="O18" i="119"/>
  <c r="O20" i="119"/>
  <c r="O22" i="119"/>
  <c r="O24" i="119"/>
  <c r="O4" i="119"/>
  <c r="N21" i="118"/>
  <c r="M21" i="118"/>
  <c r="L21" i="118"/>
  <c r="K21" i="118"/>
  <c r="J21" i="118"/>
  <c r="I21" i="118"/>
  <c r="H21" i="118"/>
  <c r="G21" i="118"/>
  <c r="F21" i="118"/>
  <c r="E21" i="118"/>
  <c r="N19" i="118"/>
  <c r="M19" i="118"/>
  <c r="L19" i="118"/>
  <c r="K19" i="118"/>
  <c r="J19" i="118"/>
  <c r="I19" i="118"/>
  <c r="H19" i="118"/>
  <c r="G19" i="118"/>
  <c r="F19" i="118"/>
  <c r="E19" i="118"/>
  <c r="N17" i="118"/>
  <c r="M17" i="118"/>
  <c r="L17" i="118"/>
  <c r="K17" i="118"/>
  <c r="J17" i="118"/>
  <c r="I17" i="118"/>
  <c r="H17" i="118"/>
  <c r="G17" i="118"/>
  <c r="F17" i="118"/>
  <c r="E17" i="118"/>
  <c r="N15" i="118"/>
  <c r="M15" i="118"/>
  <c r="L15" i="118"/>
  <c r="K15" i="118"/>
  <c r="J15" i="118"/>
  <c r="I15" i="118"/>
  <c r="H15" i="118"/>
  <c r="G15" i="118"/>
  <c r="F15" i="118"/>
  <c r="E15" i="118"/>
  <c r="N13" i="118"/>
  <c r="M13" i="118"/>
  <c r="L13" i="118"/>
  <c r="K13" i="118"/>
  <c r="J13" i="118"/>
  <c r="I13" i="118"/>
  <c r="H13" i="118"/>
  <c r="G13" i="118"/>
  <c r="F13" i="118"/>
  <c r="E13" i="118"/>
  <c r="N11" i="118"/>
  <c r="M11" i="118"/>
  <c r="L11" i="118"/>
  <c r="K11" i="118"/>
  <c r="J11" i="118"/>
  <c r="I11" i="118"/>
  <c r="H11" i="118"/>
  <c r="G11" i="118"/>
  <c r="F11" i="118"/>
  <c r="E11" i="118"/>
  <c r="N9" i="118"/>
  <c r="M9" i="118"/>
  <c r="L9" i="118"/>
  <c r="K9" i="118"/>
  <c r="J9" i="118"/>
  <c r="I9" i="118"/>
  <c r="H9" i="118"/>
  <c r="G9" i="118"/>
  <c r="F9" i="118"/>
  <c r="E9" i="118"/>
  <c r="N7" i="118"/>
  <c r="M7" i="118"/>
  <c r="L7" i="118"/>
  <c r="K7" i="118"/>
  <c r="J7" i="118"/>
  <c r="I7" i="118"/>
  <c r="H7" i="118"/>
  <c r="G7" i="118"/>
  <c r="F7" i="118"/>
  <c r="E7" i="118"/>
  <c r="N5" i="118"/>
  <c r="M5" i="118"/>
  <c r="L5" i="118"/>
  <c r="K5" i="118"/>
  <c r="J5" i="118"/>
  <c r="I5" i="118"/>
  <c r="H5" i="118"/>
  <c r="G5" i="118"/>
  <c r="F5" i="118"/>
  <c r="E5" i="118"/>
  <c r="O6" i="118"/>
  <c r="O8" i="118"/>
  <c r="O10" i="118"/>
  <c r="O12" i="118"/>
  <c r="O14" i="118"/>
  <c r="O16" i="118"/>
  <c r="O18" i="118"/>
  <c r="O20" i="118"/>
  <c r="O4" i="118"/>
  <c r="O29" i="117"/>
  <c r="N29" i="117"/>
  <c r="M29" i="117"/>
  <c r="L29" i="117"/>
  <c r="K29" i="117"/>
  <c r="J29" i="117"/>
  <c r="I29" i="117"/>
  <c r="H29" i="117"/>
  <c r="G29" i="117"/>
  <c r="F29" i="117"/>
  <c r="E29" i="117"/>
  <c r="O27" i="117"/>
  <c r="N27" i="117"/>
  <c r="M27" i="117"/>
  <c r="L27" i="117"/>
  <c r="K27" i="117"/>
  <c r="J27" i="117"/>
  <c r="I27" i="117"/>
  <c r="H27" i="117"/>
  <c r="G27" i="117"/>
  <c r="F27" i="117"/>
  <c r="E27" i="117"/>
  <c r="O25" i="117"/>
  <c r="N25" i="117"/>
  <c r="M25" i="117"/>
  <c r="L25" i="117"/>
  <c r="K25" i="117"/>
  <c r="J25" i="117"/>
  <c r="I25" i="117"/>
  <c r="H25" i="117"/>
  <c r="G25" i="117"/>
  <c r="F25" i="117"/>
  <c r="E25" i="117"/>
  <c r="O23" i="117"/>
  <c r="N23" i="117"/>
  <c r="M23" i="117"/>
  <c r="L23" i="117"/>
  <c r="K23" i="117"/>
  <c r="J23" i="117"/>
  <c r="I23" i="117"/>
  <c r="H23" i="117"/>
  <c r="G23" i="117"/>
  <c r="F23" i="117"/>
  <c r="E23" i="117"/>
  <c r="O21" i="117"/>
  <c r="N21" i="117"/>
  <c r="M21" i="117"/>
  <c r="L21" i="117"/>
  <c r="K21" i="117"/>
  <c r="J21" i="117"/>
  <c r="I21" i="117"/>
  <c r="H21" i="117"/>
  <c r="G21" i="117"/>
  <c r="F21" i="117"/>
  <c r="E21" i="117"/>
  <c r="O19" i="117"/>
  <c r="N19" i="117"/>
  <c r="M19" i="117"/>
  <c r="L19" i="117"/>
  <c r="K19" i="117"/>
  <c r="J19" i="117"/>
  <c r="I19" i="117"/>
  <c r="H19" i="117"/>
  <c r="G19" i="117"/>
  <c r="F19" i="117"/>
  <c r="E19" i="117"/>
  <c r="O17" i="117"/>
  <c r="N17" i="117"/>
  <c r="M17" i="117"/>
  <c r="L17" i="117"/>
  <c r="K17" i="117"/>
  <c r="J17" i="117"/>
  <c r="I17" i="117"/>
  <c r="H17" i="117"/>
  <c r="G17" i="117"/>
  <c r="F17" i="117"/>
  <c r="E17" i="117"/>
  <c r="O15" i="117"/>
  <c r="N15" i="117"/>
  <c r="M15" i="117"/>
  <c r="L15" i="117"/>
  <c r="K15" i="117"/>
  <c r="J15" i="117"/>
  <c r="I15" i="117"/>
  <c r="H15" i="117"/>
  <c r="G15" i="117"/>
  <c r="F15" i="117"/>
  <c r="E15" i="117"/>
  <c r="O13" i="117"/>
  <c r="N13" i="117"/>
  <c r="M13" i="117"/>
  <c r="L13" i="117"/>
  <c r="K13" i="117"/>
  <c r="J13" i="117"/>
  <c r="I13" i="117"/>
  <c r="H13" i="117"/>
  <c r="G13" i="117"/>
  <c r="F13" i="117"/>
  <c r="E13" i="117"/>
  <c r="O11" i="117"/>
  <c r="N11" i="117"/>
  <c r="M11" i="117"/>
  <c r="L11" i="117"/>
  <c r="K11" i="117"/>
  <c r="J11" i="117"/>
  <c r="I11" i="117"/>
  <c r="H11" i="117"/>
  <c r="G11" i="117"/>
  <c r="F11" i="117"/>
  <c r="E11" i="117"/>
  <c r="O9" i="117"/>
  <c r="N9" i="117"/>
  <c r="M9" i="117"/>
  <c r="L9" i="117"/>
  <c r="K9" i="117"/>
  <c r="J9" i="117"/>
  <c r="I9" i="117"/>
  <c r="H9" i="117"/>
  <c r="G9" i="117"/>
  <c r="F9" i="117"/>
  <c r="E9" i="117"/>
  <c r="O7" i="117"/>
  <c r="N7" i="117"/>
  <c r="M7" i="117"/>
  <c r="L7" i="117"/>
  <c r="K7" i="117"/>
  <c r="J7" i="117"/>
  <c r="I7" i="117"/>
  <c r="H7" i="117"/>
  <c r="G7" i="117"/>
  <c r="F7" i="117"/>
  <c r="E7" i="117"/>
  <c r="O5" i="117"/>
  <c r="N5" i="117"/>
  <c r="M5" i="117"/>
  <c r="L5" i="117"/>
  <c r="K5" i="117"/>
  <c r="J5" i="117"/>
  <c r="I5" i="117"/>
  <c r="H5" i="117"/>
  <c r="G5" i="117"/>
  <c r="E5" i="117"/>
  <c r="P8" i="117"/>
  <c r="P10" i="117"/>
  <c r="P12" i="117"/>
  <c r="P14" i="117"/>
  <c r="P16" i="117"/>
  <c r="P18" i="117"/>
  <c r="P20" i="117"/>
  <c r="P22" i="117"/>
  <c r="P24" i="117"/>
  <c r="P26" i="117"/>
  <c r="P28" i="117"/>
  <c r="P6" i="117"/>
  <c r="P4" i="117"/>
  <c r="P49" i="116"/>
  <c r="O49" i="116"/>
  <c r="N49" i="116"/>
  <c r="M49" i="116"/>
  <c r="L49" i="116"/>
  <c r="K49" i="116"/>
  <c r="J49" i="116"/>
  <c r="I49" i="116"/>
  <c r="H49" i="116"/>
  <c r="G49" i="116"/>
  <c r="F49" i="116"/>
  <c r="E49" i="116"/>
  <c r="P47" i="116"/>
  <c r="O47" i="116"/>
  <c r="N47" i="116"/>
  <c r="M47" i="116"/>
  <c r="L47" i="116"/>
  <c r="K47" i="116"/>
  <c r="J47" i="116"/>
  <c r="I47" i="116"/>
  <c r="H47" i="116"/>
  <c r="G47" i="116"/>
  <c r="F47" i="116"/>
  <c r="E47" i="116"/>
  <c r="P45" i="116"/>
  <c r="O45" i="116"/>
  <c r="N45" i="116"/>
  <c r="M45" i="116"/>
  <c r="L45" i="116"/>
  <c r="K45" i="116"/>
  <c r="J45" i="116"/>
  <c r="I45" i="116"/>
  <c r="H45" i="116"/>
  <c r="G45" i="116"/>
  <c r="F45" i="116"/>
  <c r="E45" i="116"/>
  <c r="P43" i="116"/>
  <c r="O43" i="116"/>
  <c r="N43" i="116"/>
  <c r="M43" i="116"/>
  <c r="L43" i="116"/>
  <c r="K43" i="116"/>
  <c r="J43" i="116"/>
  <c r="I43" i="116"/>
  <c r="H43" i="116"/>
  <c r="G43" i="116"/>
  <c r="F43" i="116"/>
  <c r="E43" i="116"/>
  <c r="P41" i="116"/>
  <c r="O41" i="116"/>
  <c r="N41" i="116"/>
  <c r="M41" i="116"/>
  <c r="L41" i="116"/>
  <c r="K41" i="116"/>
  <c r="J41" i="116"/>
  <c r="I41" i="116"/>
  <c r="H41" i="116"/>
  <c r="G41" i="116"/>
  <c r="F41" i="116"/>
  <c r="E41" i="116"/>
  <c r="N39" i="116"/>
  <c r="L39" i="116"/>
  <c r="J39" i="116"/>
  <c r="G39" i="116"/>
  <c r="P37" i="116"/>
  <c r="O37" i="116"/>
  <c r="N37" i="116"/>
  <c r="M37" i="116"/>
  <c r="K37" i="116"/>
  <c r="J37" i="116"/>
  <c r="I37" i="116"/>
  <c r="H37" i="116"/>
  <c r="G37" i="116"/>
  <c r="F37" i="116"/>
  <c r="E37" i="116"/>
  <c r="P35" i="116"/>
  <c r="O35" i="116"/>
  <c r="N35" i="116"/>
  <c r="M35" i="116"/>
  <c r="L35" i="116"/>
  <c r="K35" i="116"/>
  <c r="J35" i="116"/>
  <c r="I35" i="116"/>
  <c r="H35" i="116"/>
  <c r="G35" i="116"/>
  <c r="F35" i="116"/>
  <c r="E35" i="116"/>
  <c r="P31" i="116"/>
  <c r="O31" i="116"/>
  <c r="N31" i="116"/>
  <c r="M31" i="116"/>
  <c r="L31" i="116"/>
  <c r="K31" i="116"/>
  <c r="J31" i="116"/>
  <c r="I31" i="116"/>
  <c r="H31" i="116"/>
  <c r="G31" i="116"/>
  <c r="F31" i="116"/>
  <c r="E31" i="116"/>
  <c r="P29" i="116"/>
  <c r="O29" i="116"/>
  <c r="N29" i="116"/>
  <c r="M29" i="116"/>
  <c r="L29" i="116"/>
  <c r="K29" i="116"/>
  <c r="J29" i="116"/>
  <c r="I29" i="116"/>
  <c r="H29" i="116"/>
  <c r="G29" i="116"/>
  <c r="F29" i="116"/>
  <c r="E29" i="116"/>
  <c r="P27" i="116"/>
  <c r="O27" i="116"/>
  <c r="N27" i="116"/>
  <c r="M27" i="116"/>
  <c r="L27" i="116"/>
  <c r="K27" i="116"/>
  <c r="J27" i="116"/>
  <c r="I27" i="116"/>
  <c r="H27" i="116"/>
  <c r="G27" i="116"/>
  <c r="F27" i="116"/>
  <c r="E27" i="116"/>
  <c r="P25" i="116"/>
  <c r="O25" i="116"/>
  <c r="N25" i="116"/>
  <c r="M25" i="116"/>
  <c r="L25" i="116"/>
  <c r="K25" i="116"/>
  <c r="J25" i="116"/>
  <c r="I25" i="116"/>
  <c r="H25" i="116"/>
  <c r="G25" i="116"/>
  <c r="F25" i="116"/>
  <c r="E25" i="116"/>
  <c r="P23" i="116"/>
  <c r="O23" i="116"/>
  <c r="N23" i="116"/>
  <c r="M23" i="116"/>
  <c r="L23" i="116"/>
  <c r="K23" i="116"/>
  <c r="J23" i="116"/>
  <c r="I23" i="116"/>
  <c r="H23" i="116"/>
  <c r="G23" i="116"/>
  <c r="F23" i="116"/>
  <c r="E23" i="116"/>
  <c r="P21" i="116"/>
  <c r="O21" i="116"/>
  <c r="N21" i="116"/>
  <c r="M21" i="116"/>
  <c r="L21" i="116"/>
  <c r="K21" i="116"/>
  <c r="J21" i="116"/>
  <c r="I21" i="116"/>
  <c r="H21" i="116"/>
  <c r="G21" i="116"/>
  <c r="F21" i="116"/>
  <c r="E21" i="116"/>
  <c r="P19" i="116"/>
  <c r="O19" i="116"/>
  <c r="N19" i="116"/>
  <c r="M19" i="116"/>
  <c r="L19" i="116"/>
  <c r="K19" i="116"/>
  <c r="J19" i="116"/>
  <c r="I19" i="116"/>
  <c r="H19" i="116"/>
  <c r="G19" i="116"/>
  <c r="F19" i="116"/>
  <c r="E19" i="116"/>
  <c r="P17" i="116"/>
  <c r="O17" i="116"/>
  <c r="N17" i="116"/>
  <c r="M17" i="116"/>
  <c r="L17" i="116"/>
  <c r="K17" i="116"/>
  <c r="J17" i="116"/>
  <c r="I17" i="116"/>
  <c r="H17" i="116"/>
  <c r="G17" i="116"/>
  <c r="F17" i="116"/>
  <c r="E17" i="116"/>
  <c r="P15" i="116"/>
  <c r="O15" i="116"/>
  <c r="N15" i="116"/>
  <c r="M15" i="116"/>
  <c r="L15" i="116"/>
  <c r="K15" i="116"/>
  <c r="J15" i="116"/>
  <c r="I15" i="116"/>
  <c r="H15" i="116"/>
  <c r="G15" i="116"/>
  <c r="F15" i="116"/>
  <c r="E15" i="116"/>
  <c r="P13" i="116"/>
  <c r="O13" i="116"/>
  <c r="N13" i="116"/>
  <c r="M13" i="116"/>
  <c r="L13" i="116"/>
  <c r="K13" i="116"/>
  <c r="J13" i="116"/>
  <c r="I13" i="116"/>
  <c r="H13" i="116"/>
  <c r="G13" i="116"/>
  <c r="F13" i="116"/>
  <c r="E13" i="116"/>
  <c r="P11" i="116"/>
  <c r="O11" i="116"/>
  <c r="N11" i="116"/>
  <c r="M11" i="116"/>
  <c r="L11" i="116"/>
  <c r="K11" i="116"/>
  <c r="J11" i="116"/>
  <c r="I11" i="116"/>
  <c r="H11" i="116"/>
  <c r="G11" i="116"/>
  <c r="F11" i="116"/>
  <c r="E11" i="116"/>
  <c r="P9" i="116"/>
  <c r="O9" i="116"/>
  <c r="N9" i="116"/>
  <c r="M9" i="116"/>
  <c r="L9" i="116"/>
  <c r="K9" i="116"/>
  <c r="J9" i="116"/>
  <c r="I9" i="116"/>
  <c r="H9" i="116"/>
  <c r="G9" i="116"/>
  <c r="F9" i="116"/>
  <c r="E9" i="116"/>
  <c r="P7" i="116"/>
  <c r="O7" i="116"/>
  <c r="N7" i="116"/>
  <c r="M7" i="116"/>
  <c r="K7" i="116"/>
  <c r="J7" i="116"/>
  <c r="I7" i="116"/>
  <c r="H7" i="116"/>
  <c r="G7" i="116"/>
  <c r="F7" i="116"/>
  <c r="E7" i="116"/>
  <c r="P5" i="116"/>
  <c r="O5" i="116"/>
  <c r="N5" i="116"/>
  <c r="M5" i="116"/>
  <c r="L5" i="116"/>
  <c r="K5" i="116"/>
  <c r="J5" i="116"/>
  <c r="I5" i="116"/>
  <c r="H5" i="116"/>
  <c r="G5" i="116"/>
  <c r="F5" i="116"/>
  <c r="E5" i="116"/>
  <c r="Q38" i="116"/>
  <c r="Q6" i="116"/>
  <c r="Q8" i="116"/>
  <c r="Q10" i="116"/>
  <c r="Q12" i="116"/>
  <c r="Q14" i="116"/>
  <c r="Q16" i="116"/>
  <c r="Q18" i="116"/>
  <c r="Q20" i="116"/>
  <c r="Q22" i="116"/>
  <c r="Q24" i="116"/>
  <c r="Q26" i="116"/>
  <c r="Q28" i="116"/>
  <c r="Q30" i="116"/>
  <c r="Q32" i="116"/>
  <c r="Q34" i="116"/>
  <c r="Q36" i="116"/>
  <c r="Q40" i="116"/>
  <c r="Q42" i="116"/>
  <c r="Q44" i="116"/>
  <c r="Q46" i="116"/>
  <c r="Q48" i="116"/>
  <c r="Q4" i="116"/>
  <c r="O45" i="115"/>
  <c r="N45" i="115"/>
  <c r="M45" i="115"/>
  <c r="L45" i="115"/>
  <c r="K45" i="115"/>
  <c r="J45" i="115"/>
  <c r="I45" i="115"/>
  <c r="H45" i="115"/>
  <c r="G45" i="115"/>
  <c r="F45" i="115"/>
  <c r="E45" i="115"/>
  <c r="O43" i="115"/>
  <c r="N43" i="115"/>
  <c r="M43" i="115"/>
  <c r="L43" i="115"/>
  <c r="K43" i="115"/>
  <c r="J43" i="115"/>
  <c r="I43" i="115"/>
  <c r="H43" i="115"/>
  <c r="G43" i="115"/>
  <c r="F43" i="115"/>
  <c r="E43" i="115"/>
  <c r="O41" i="115"/>
  <c r="N41" i="115"/>
  <c r="M41" i="115"/>
  <c r="L41" i="115"/>
  <c r="K41" i="115"/>
  <c r="J41" i="115"/>
  <c r="I41" i="115"/>
  <c r="H41" i="115"/>
  <c r="G41" i="115"/>
  <c r="F41" i="115"/>
  <c r="E41" i="115"/>
  <c r="O39" i="115"/>
  <c r="N39" i="115"/>
  <c r="M39" i="115"/>
  <c r="L39" i="115"/>
  <c r="K39" i="115"/>
  <c r="J39" i="115"/>
  <c r="I39" i="115"/>
  <c r="H39" i="115"/>
  <c r="G39" i="115"/>
  <c r="F39" i="115"/>
  <c r="E39" i="115"/>
  <c r="O37" i="115"/>
  <c r="N37" i="115"/>
  <c r="M37" i="115"/>
  <c r="L37" i="115"/>
  <c r="K37" i="115"/>
  <c r="J37" i="115"/>
  <c r="I37" i="115"/>
  <c r="H37" i="115"/>
  <c r="G37" i="115"/>
  <c r="F37" i="115"/>
  <c r="E37" i="115"/>
  <c r="O35" i="115"/>
  <c r="N35" i="115"/>
  <c r="M35" i="115"/>
  <c r="L35" i="115"/>
  <c r="K35" i="115"/>
  <c r="J35" i="115"/>
  <c r="I35" i="115"/>
  <c r="H35" i="115"/>
  <c r="G35" i="115"/>
  <c r="F35" i="115"/>
  <c r="E35" i="115"/>
  <c r="O33" i="115"/>
  <c r="N33" i="115"/>
  <c r="M33" i="115"/>
  <c r="L33" i="115"/>
  <c r="K33" i="115"/>
  <c r="J33" i="115"/>
  <c r="I33" i="115"/>
  <c r="H33" i="115"/>
  <c r="G33" i="115"/>
  <c r="F33" i="115"/>
  <c r="E33" i="115"/>
  <c r="O31" i="115"/>
  <c r="N31" i="115"/>
  <c r="M31" i="115"/>
  <c r="L31" i="115"/>
  <c r="K31" i="115"/>
  <c r="J31" i="115"/>
  <c r="I31" i="115"/>
  <c r="H31" i="115"/>
  <c r="G31" i="115"/>
  <c r="F31" i="115"/>
  <c r="E31" i="115"/>
  <c r="O29" i="115"/>
  <c r="N29" i="115"/>
  <c r="M29" i="115"/>
  <c r="L29" i="115"/>
  <c r="K29" i="115"/>
  <c r="J29" i="115"/>
  <c r="I29" i="115"/>
  <c r="H29" i="115"/>
  <c r="G29" i="115"/>
  <c r="F29" i="115"/>
  <c r="E29" i="115"/>
  <c r="O27" i="115"/>
  <c r="N27" i="115"/>
  <c r="M27" i="115"/>
  <c r="L27" i="115"/>
  <c r="K27" i="115"/>
  <c r="J27" i="115"/>
  <c r="I27" i="115"/>
  <c r="H27" i="115"/>
  <c r="G27" i="115"/>
  <c r="F27" i="115"/>
  <c r="E27" i="115"/>
  <c r="O25" i="115"/>
  <c r="N25" i="115"/>
  <c r="M25" i="115"/>
  <c r="L25" i="115"/>
  <c r="K25" i="115"/>
  <c r="J25" i="115"/>
  <c r="I25" i="115"/>
  <c r="H25" i="115"/>
  <c r="G25" i="115"/>
  <c r="F25" i="115"/>
  <c r="E25" i="115"/>
  <c r="O23" i="115"/>
  <c r="N23" i="115"/>
  <c r="M23" i="115"/>
  <c r="L23" i="115"/>
  <c r="K23" i="115"/>
  <c r="J23" i="115"/>
  <c r="I23" i="115"/>
  <c r="H23" i="115"/>
  <c r="G23" i="115"/>
  <c r="F23" i="115"/>
  <c r="E23" i="115"/>
  <c r="O21" i="115"/>
  <c r="N21" i="115"/>
  <c r="M21" i="115"/>
  <c r="L21" i="115"/>
  <c r="K21" i="115"/>
  <c r="J21" i="115"/>
  <c r="I21" i="115"/>
  <c r="H21" i="115"/>
  <c r="G21" i="115"/>
  <c r="F21" i="115"/>
  <c r="E21" i="115"/>
  <c r="O19" i="115"/>
  <c r="N19" i="115"/>
  <c r="M19" i="115"/>
  <c r="L19" i="115"/>
  <c r="K19" i="115"/>
  <c r="J19" i="115"/>
  <c r="I19" i="115"/>
  <c r="H19" i="115"/>
  <c r="G19" i="115"/>
  <c r="F19" i="115"/>
  <c r="E19" i="115"/>
  <c r="O17" i="115"/>
  <c r="N17" i="115"/>
  <c r="M17" i="115"/>
  <c r="L17" i="115"/>
  <c r="K17" i="115"/>
  <c r="J17" i="115"/>
  <c r="I17" i="115"/>
  <c r="H17" i="115"/>
  <c r="G17" i="115"/>
  <c r="F17" i="115"/>
  <c r="E17" i="115"/>
  <c r="O15" i="115"/>
  <c r="N15" i="115"/>
  <c r="M15" i="115"/>
  <c r="L15" i="115"/>
  <c r="K15" i="115"/>
  <c r="J15" i="115"/>
  <c r="I15" i="115"/>
  <c r="H15" i="115"/>
  <c r="G15" i="115"/>
  <c r="F15" i="115"/>
  <c r="E15" i="115"/>
  <c r="O13" i="115"/>
  <c r="N13" i="115"/>
  <c r="M13" i="115"/>
  <c r="L13" i="115"/>
  <c r="K13" i="115"/>
  <c r="J13" i="115"/>
  <c r="I13" i="115"/>
  <c r="H13" i="115"/>
  <c r="G13" i="115"/>
  <c r="F13" i="115"/>
  <c r="E13" i="115"/>
  <c r="O11" i="115"/>
  <c r="N11" i="115"/>
  <c r="M11" i="115"/>
  <c r="L11" i="115"/>
  <c r="K11" i="115"/>
  <c r="J11" i="115"/>
  <c r="I11" i="115"/>
  <c r="H11" i="115"/>
  <c r="G11" i="115"/>
  <c r="F11" i="115"/>
  <c r="E11" i="115"/>
  <c r="O9" i="115"/>
  <c r="N9" i="115"/>
  <c r="M9" i="115"/>
  <c r="L9" i="115"/>
  <c r="K9" i="115"/>
  <c r="J9" i="115"/>
  <c r="I9" i="115"/>
  <c r="H9" i="115"/>
  <c r="G9" i="115"/>
  <c r="F9" i="115"/>
  <c r="E9" i="115"/>
  <c r="O7" i="115"/>
  <c r="N7" i="115"/>
  <c r="M7" i="115"/>
  <c r="L7" i="115"/>
  <c r="K7" i="115"/>
  <c r="J7" i="115"/>
  <c r="I7" i="115"/>
  <c r="H7" i="115"/>
  <c r="G7" i="115"/>
  <c r="F7" i="115"/>
  <c r="E7" i="115"/>
  <c r="O5" i="115"/>
  <c r="N5" i="115"/>
  <c r="M5" i="115"/>
  <c r="L5" i="115"/>
  <c r="K5" i="115"/>
  <c r="J5" i="115"/>
  <c r="I5" i="115"/>
  <c r="H5" i="115"/>
  <c r="G5" i="115"/>
  <c r="F5" i="115"/>
  <c r="E5" i="115"/>
  <c r="P6" i="115"/>
  <c r="P8" i="115"/>
  <c r="P10" i="115"/>
  <c r="P12" i="115"/>
  <c r="P14" i="115"/>
  <c r="P16" i="115"/>
  <c r="P18" i="115"/>
  <c r="P20" i="115"/>
  <c r="P22" i="115"/>
  <c r="P24" i="115"/>
  <c r="P26" i="115"/>
  <c r="P28" i="115"/>
  <c r="P30" i="115"/>
  <c r="P32" i="115"/>
  <c r="P34" i="115"/>
  <c r="P36" i="115"/>
  <c r="P38" i="115"/>
  <c r="P40" i="115"/>
  <c r="P42" i="115"/>
  <c r="P44" i="115"/>
  <c r="P4" i="115"/>
  <c r="O35" i="114"/>
  <c r="N35" i="114"/>
  <c r="M35" i="114"/>
  <c r="L35" i="114"/>
  <c r="K35" i="114"/>
  <c r="J35" i="114"/>
  <c r="I35" i="114"/>
  <c r="H35" i="114"/>
  <c r="G35" i="114"/>
  <c r="F35" i="114"/>
  <c r="E35" i="114"/>
  <c r="O33" i="114"/>
  <c r="N33" i="114"/>
  <c r="M33" i="114"/>
  <c r="L33" i="114"/>
  <c r="K33" i="114"/>
  <c r="J33" i="114"/>
  <c r="I33" i="114"/>
  <c r="H33" i="114"/>
  <c r="G33" i="114"/>
  <c r="F33" i="114"/>
  <c r="E33" i="114"/>
  <c r="O31" i="114"/>
  <c r="N31" i="114"/>
  <c r="M31" i="114"/>
  <c r="L31" i="114"/>
  <c r="K31" i="114"/>
  <c r="J31" i="114"/>
  <c r="I31" i="114"/>
  <c r="H31" i="114"/>
  <c r="G31" i="114"/>
  <c r="F31" i="114"/>
  <c r="E31" i="114"/>
  <c r="O29" i="114"/>
  <c r="N29" i="114"/>
  <c r="M29" i="114"/>
  <c r="L29" i="114"/>
  <c r="K29" i="114"/>
  <c r="J29" i="114"/>
  <c r="I29" i="114"/>
  <c r="H29" i="114"/>
  <c r="G29" i="114"/>
  <c r="F29" i="114"/>
  <c r="E29" i="114"/>
  <c r="O27" i="114"/>
  <c r="N27" i="114"/>
  <c r="M27" i="114"/>
  <c r="K27" i="114"/>
  <c r="J27" i="114"/>
  <c r="I27" i="114"/>
  <c r="H27" i="114"/>
  <c r="G27" i="114"/>
  <c r="E27" i="114"/>
  <c r="O25" i="114"/>
  <c r="N25" i="114"/>
  <c r="M25" i="114"/>
  <c r="K25" i="114"/>
  <c r="J25" i="114"/>
  <c r="I25" i="114"/>
  <c r="H25" i="114"/>
  <c r="G25" i="114"/>
  <c r="E25" i="114"/>
  <c r="O23" i="114"/>
  <c r="N23" i="114"/>
  <c r="M23" i="114"/>
  <c r="L23" i="114"/>
  <c r="K23" i="114"/>
  <c r="J23" i="114"/>
  <c r="I23" i="114"/>
  <c r="H23" i="114"/>
  <c r="G23" i="114"/>
  <c r="F23" i="114"/>
  <c r="E23" i="114"/>
  <c r="O21" i="114"/>
  <c r="N21" i="114"/>
  <c r="M21" i="114"/>
  <c r="L21" i="114"/>
  <c r="K21" i="114"/>
  <c r="J21" i="114"/>
  <c r="I21" i="114"/>
  <c r="H21" i="114"/>
  <c r="G21" i="114"/>
  <c r="F21" i="114"/>
  <c r="E21" i="114"/>
  <c r="O19" i="114"/>
  <c r="N19" i="114"/>
  <c r="M19" i="114"/>
  <c r="L19" i="114"/>
  <c r="K19" i="114"/>
  <c r="J19" i="114"/>
  <c r="I19" i="114"/>
  <c r="H19" i="114"/>
  <c r="G19" i="114"/>
  <c r="F19" i="114"/>
  <c r="E19" i="114"/>
  <c r="O17" i="114"/>
  <c r="N17" i="114"/>
  <c r="M17" i="114"/>
  <c r="L17" i="114"/>
  <c r="K17" i="114"/>
  <c r="J17" i="114"/>
  <c r="I17" i="114"/>
  <c r="H17" i="114"/>
  <c r="G17" i="114"/>
  <c r="F17" i="114"/>
  <c r="E17" i="114"/>
  <c r="O15" i="114"/>
  <c r="N15" i="114"/>
  <c r="M15" i="114"/>
  <c r="L15" i="114"/>
  <c r="K15" i="114"/>
  <c r="J15" i="114"/>
  <c r="I15" i="114"/>
  <c r="H15" i="114"/>
  <c r="G15" i="114"/>
  <c r="F15" i="114"/>
  <c r="E15" i="114"/>
  <c r="O13" i="114"/>
  <c r="N13" i="114"/>
  <c r="M13" i="114"/>
  <c r="L13" i="114"/>
  <c r="K13" i="114"/>
  <c r="J13" i="114"/>
  <c r="I13" i="114"/>
  <c r="H13" i="114"/>
  <c r="G13" i="114"/>
  <c r="F13" i="114"/>
  <c r="E13" i="114"/>
  <c r="O11" i="114"/>
  <c r="N11" i="114"/>
  <c r="M11" i="114"/>
  <c r="L11" i="114"/>
  <c r="K11" i="114"/>
  <c r="J11" i="114"/>
  <c r="I11" i="114"/>
  <c r="H11" i="114"/>
  <c r="G11" i="114"/>
  <c r="F11" i="114"/>
  <c r="E11" i="114"/>
  <c r="O9" i="114"/>
  <c r="N9" i="114"/>
  <c r="M9" i="114"/>
  <c r="L9" i="114"/>
  <c r="K9" i="114"/>
  <c r="J9" i="114"/>
  <c r="I9" i="114"/>
  <c r="H9" i="114"/>
  <c r="G9" i="114"/>
  <c r="F9" i="114"/>
  <c r="E9" i="114"/>
  <c r="O7" i="114"/>
  <c r="N7" i="114"/>
  <c r="M7" i="114"/>
  <c r="L7" i="114"/>
  <c r="K7" i="114"/>
  <c r="J7" i="114"/>
  <c r="I7" i="114"/>
  <c r="H7" i="114"/>
  <c r="G7" i="114"/>
  <c r="F7" i="114"/>
  <c r="E7" i="114"/>
  <c r="O5" i="114"/>
  <c r="N5" i="114"/>
  <c r="M5" i="114"/>
  <c r="L5" i="114"/>
  <c r="K5" i="114"/>
  <c r="J5" i="114"/>
  <c r="I5" i="114"/>
  <c r="H5" i="114"/>
  <c r="G5" i="114"/>
  <c r="F5" i="114"/>
  <c r="E5" i="114"/>
  <c r="P6" i="114"/>
  <c r="P8" i="114"/>
  <c r="P10" i="114"/>
  <c r="P12" i="114"/>
  <c r="P14" i="114"/>
  <c r="P16" i="114"/>
  <c r="P18" i="114"/>
  <c r="P20" i="114"/>
  <c r="P22" i="114"/>
  <c r="P24" i="114"/>
  <c r="P26" i="114"/>
  <c r="P28" i="114"/>
  <c r="P30" i="114"/>
  <c r="P32" i="114"/>
  <c r="P34" i="114"/>
  <c r="P4" i="114"/>
  <c r="O41" i="113"/>
  <c r="N41" i="113"/>
  <c r="M41" i="113"/>
  <c r="L41" i="113"/>
  <c r="K41" i="113"/>
  <c r="J41" i="113"/>
  <c r="I41" i="113"/>
  <c r="H41" i="113"/>
  <c r="G41" i="113"/>
  <c r="F41" i="113"/>
  <c r="E41" i="113"/>
  <c r="O39" i="113"/>
  <c r="N39" i="113"/>
  <c r="M39" i="113"/>
  <c r="L39" i="113"/>
  <c r="K39" i="113"/>
  <c r="J39" i="113"/>
  <c r="I39" i="113"/>
  <c r="H39" i="113"/>
  <c r="G39" i="113"/>
  <c r="F39" i="113"/>
  <c r="E39" i="113"/>
  <c r="O37" i="113"/>
  <c r="N37" i="113"/>
  <c r="M37" i="113"/>
  <c r="L37" i="113"/>
  <c r="K37" i="113"/>
  <c r="J37" i="113"/>
  <c r="I37" i="113"/>
  <c r="H37" i="113"/>
  <c r="G37" i="113"/>
  <c r="F37" i="113"/>
  <c r="E37" i="113"/>
  <c r="O35" i="113"/>
  <c r="N35" i="113"/>
  <c r="M35" i="113"/>
  <c r="L35" i="113"/>
  <c r="K35" i="113"/>
  <c r="J35" i="113"/>
  <c r="I35" i="113"/>
  <c r="H35" i="113"/>
  <c r="G35" i="113"/>
  <c r="F35" i="113"/>
  <c r="E35" i="113"/>
  <c r="O33" i="113"/>
  <c r="N33" i="113"/>
  <c r="M33" i="113"/>
  <c r="L33" i="113"/>
  <c r="K33" i="113"/>
  <c r="J33" i="113"/>
  <c r="I33" i="113"/>
  <c r="H33" i="113"/>
  <c r="G33" i="113"/>
  <c r="F33" i="113"/>
  <c r="E33" i="113"/>
  <c r="O31" i="113"/>
  <c r="N31" i="113"/>
  <c r="M31" i="113"/>
  <c r="L31" i="113"/>
  <c r="K31" i="113"/>
  <c r="J31" i="113"/>
  <c r="I31" i="113"/>
  <c r="H31" i="113"/>
  <c r="G31" i="113"/>
  <c r="F31" i="113"/>
  <c r="E31" i="113"/>
  <c r="O29" i="113"/>
  <c r="N29" i="113"/>
  <c r="M29" i="113"/>
  <c r="L29" i="113"/>
  <c r="K29" i="113"/>
  <c r="J29" i="113"/>
  <c r="I29" i="113"/>
  <c r="H29" i="113"/>
  <c r="G29" i="113"/>
  <c r="F29" i="113"/>
  <c r="E29" i="113"/>
  <c r="O27" i="113"/>
  <c r="N27" i="113"/>
  <c r="M27" i="113"/>
  <c r="L27" i="113"/>
  <c r="K27" i="113"/>
  <c r="J27" i="113"/>
  <c r="I27" i="113"/>
  <c r="H27" i="113"/>
  <c r="G27" i="113"/>
  <c r="E27" i="113"/>
  <c r="O25" i="113"/>
  <c r="N25" i="113"/>
  <c r="M25" i="113"/>
  <c r="L25" i="113"/>
  <c r="K25" i="113"/>
  <c r="J25" i="113"/>
  <c r="I25" i="113"/>
  <c r="H25" i="113"/>
  <c r="G25" i="113"/>
  <c r="F25" i="113"/>
  <c r="E25" i="113"/>
  <c r="O23" i="113"/>
  <c r="N23" i="113"/>
  <c r="M23" i="113"/>
  <c r="L23" i="113"/>
  <c r="K23" i="113"/>
  <c r="J23" i="113"/>
  <c r="I23" i="113"/>
  <c r="H23" i="113"/>
  <c r="G23" i="113"/>
  <c r="F23" i="113"/>
  <c r="E23" i="113"/>
  <c r="O21" i="113"/>
  <c r="N21" i="113"/>
  <c r="M21" i="113"/>
  <c r="L21" i="113"/>
  <c r="K21" i="113"/>
  <c r="J21" i="113"/>
  <c r="I21" i="113"/>
  <c r="H21" i="113"/>
  <c r="G21" i="113"/>
  <c r="F21" i="113"/>
  <c r="E21" i="113"/>
  <c r="O19" i="113"/>
  <c r="N19" i="113"/>
  <c r="M19" i="113"/>
  <c r="L19" i="113"/>
  <c r="K19" i="113"/>
  <c r="J19" i="113"/>
  <c r="I19" i="113"/>
  <c r="H19" i="113"/>
  <c r="G19" i="113"/>
  <c r="F19" i="113"/>
  <c r="E19" i="113"/>
  <c r="O17" i="113"/>
  <c r="N17" i="113"/>
  <c r="M17" i="113"/>
  <c r="L17" i="113"/>
  <c r="K17" i="113"/>
  <c r="J17" i="113"/>
  <c r="I17" i="113"/>
  <c r="H17" i="113"/>
  <c r="G17" i="113"/>
  <c r="F17" i="113"/>
  <c r="E17" i="113"/>
  <c r="O15" i="113"/>
  <c r="N15" i="113"/>
  <c r="M15" i="113"/>
  <c r="L15" i="113"/>
  <c r="K15" i="113"/>
  <c r="J15" i="113"/>
  <c r="I15" i="113"/>
  <c r="H15" i="113"/>
  <c r="G15" i="113"/>
  <c r="F15" i="113"/>
  <c r="E15" i="113"/>
  <c r="O13" i="113"/>
  <c r="N13" i="113"/>
  <c r="M13" i="113"/>
  <c r="L13" i="113"/>
  <c r="K13" i="113"/>
  <c r="J13" i="113"/>
  <c r="I13" i="113"/>
  <c r="H13" i="113"/>
  <c r="G13" i="113"/>
  <c r="F13" i="113"/>
  <c r="E13" i="113"/>
  <c r="O11" i="113"/>
  <c r="N11" i="113"/>
  <c r="M11" i="113"/>
  <c r="L11" i="113"/>
  <c r="K11" i="113"/>
  <c r="J11" i="113"/>
  <c r="I11" i="113"/>
  <c r="H11" i="113"/>
  <c r="G11" i="113"/>
  <c r="F11" i="113"/>
  <c r="E11" i="113"/>
  <c r="O9" i="113"/>
  <c r="N9" i="113"/>
  <c r="M9" i="113"/>
  <c r="L9" i="113"/>
  <c r="K9" i="113"/>
  <c r="J9" i="113"/>
  <c r="I9" i="113"/>
  <c r="H9" i="113"/>
  <c r="G9" i="113"/>
  <c r="F9" i="113"/>
  <c r="E9" i="113"/>
  <c r="O7" i="113"/>
  <c r="N7" i="113"/>
  <c r="M7" i="113"/>
  <c r="L7" i="113"/>
  <c r="K7" i="113"/>
  <c r="J7" i="113"/>
  <c r="I7" i="113"/>
  <c r="H7" i="113"/>
  <c r="G7" i="113"/>
  <c r="F7" i="113"/>
  <c r="E7" i="113"/>
  <c r="O5" i="113"/>
  <c r="N5" i="113"/>
  <c r="M5" i="113"/>
  <c r="L5" i="113"/>
  <c r="K5" i="113"/>
  <c r="J5" i="113"/>
  <c r="I5" i="113"/>
  <c r="H5" i="113"/>
  <c r="G5" i="113"/>
  <c r="F5" i="113"/>
  <c r="E5" i="113"/>
  <c r="P6" i="113"/>
  <c r="P8" i="113"/>
  <c r="P10" i="113"/>
  <c r="P12" i="113"/>
  <c r="P14" i="113"/>
  <c r="P16" i="113"/>
  <c r="P18" i="113"/>
  <c r="P20" i="113"/>
  <c r="P22" i="113"/>
  <c r="P24" i="113"/>
  <c r="P26" i="113"/>
  <c r="P28" i="113"/>
  <c r="P30" i="113"/>
  <c r="P32" i="113"/>
  <c r="P34" i="113"/>
  <c r="P36" i="113"/>
  <c r="P40" i="113"/>
  <c r="P4" i="113"/>
  <c r="R19" i="112"/>
  <c r="Q19" i="112"/>
  <c r="P19" i="112"/>
  <c r="O19" i="112"/>
  <c r="N19" i="112"/>
  <c r="M19" i="112"/>
  <c r="K19" i="112"/>
  <c r="I19" i="112"/>
  <c r="G19" i="112"/>
  <c r="E19" i="112"/>
  <c r="R29" i="112"/>
  <c r="Q29" i="112"/>
  <c r="P29" i="112"/>
  <c r="O29" i="112"/>
  <c r="N29" i="112"/>
  <c r="M29" i="112"/>
  <c r="K29" i="112"/>
  <c r="I29" i="112"/>
  <c r="G29" i="112"/>
  <c r="E29" i="112"/>
  <c r="R21" i="112"/>
  <c r="Q21" i="112"/>
  <c r="P21" i="112"/>
  <c r="O21" i="112"/>
  <c r="N21" i="112"/>
  <c r="M21" i="112"/>
  <c r="K21" i="112"/>
  <c r="I21" i="112"/>
  <c r="G21" i="112"/>
  <c r="E21" i="112"/>
  <c r="R5" i="112"/>
  <c r="Q5" i="112"/>
  <c r="P5" i="112"/>
  <c r="N5" i="112"/>
  <c r="K5" i="112"/>
  <c r="I5" i="112"/>
  <c r="G5" i="112"/>
  <c r="E5" i="112"/>
  <c r="R45" i="112"/>
  <c r="Q45" i="112"/>
  <c r="P45" i="112"/>
  <c r="O45" i="112"/>
  <c r="N45" i="112"/>
  <c r="M45" i="112"/>
  <c r="L45" i="112"/>
  <c r="K45" i="112"/>
  <c r="J45" i="112"/>
  <c r="I45" i="112"/>
  <c r="H45" i="112"/>
  <c r="G45" i="112"/>
  <c r="F45" i="112"/>
  <c r="E45" i="112"/>
  <c r="R43" i="112"/>
  <c r="Q43" i="112"/>
  <c r="P43" i="112"/>
  <c r="O43" i="112"/>
  <c r="N43" i="112"/>
  <c r="M43" i="112"/>
  <c r="L43" i="112"/>
  <c r="K43" i="112"/>
  <c r="J43" i="112"/>
  <c r="I43" i="112"/>
  <c r="H43" i="112"/>
  <c r="G43" i="112"/>
  <c r="F43" i="112"/>
  <c r="E43" i="112"/>
  <c r="R41" i="112"/>
  <c r="Q41" i="112"/>
  <c r="P41" i="112"/>
  <c r="O41" i="112"/>
  <c r="N41" i="112"/>
  <c r="M41" i="112"/>
  <c r="L41" i="112"/>
  <c r="K41" i="112"/>
  <c r="J41" i="112"/>
  <c r="I41" i="112"/>
  <c r="H41" i="112"/>
  <c r="G41" i="112"/>
  <c r="F41" i="112"/>
  <c r="E41" i="112"/>
  <c r="R39" i="112"/>
  <c r="Q39" i="112"/>
  <c r="P39" i="112"/>
  <c r="O39" i="112"/>
  <c r="N39" i="112"/>
  <c r="M39" i="112"/>
  <c r="L39" i="112"/>
  <c r="K39" i="112"/>
  <c r="J39" i="112"/>
  <c r="I39" i="112"/>
  <c r="H39" i="112"/>
  <c r="G39" i="112"/>
  <c r="F39" i="112"/>
  <c r="E39" i="112"/>
  <c r="R37" i="112"/>
  <c r="Q37" i="112"/>
  <c r="P37" i="112"/>
  <c r="O37" i="112"/>
  <c r="N37" i="112"/>
  <c r="M37" i="112"/>
  <c r="L37" i="112"/>
  <c r="K37" i="112"/>
  <c r="J37" i="112"/>
  <c r="I37" i="112"/>
  <c r="H37" i="112"/>
  <c r="G37" i="112"/>
  <c r="F37" i="112"/>
  <c r="E37" i="112"/>
  <c r="R35" i="112"/>
  <c r="Q35" i="112"/>
  <c r="P35" i="112"/>
  <c r="O35" i="112"/>
  <c r="N35" i="112"/>
  <c r="M35" i="112"/>
  <c r="L35" i="112"/>
  <c r="K35" i="112"/>
  <c r="J35" i="112"/>
  <c r="I35" i="112"/>
  <c r="H35" i="112"/>
  <c r="G35" i="112"/>
  <c r="F35" i="112"/>
  <c r="E35" i="112"/>
  <c r="R33" i="112"/>
  <c r="Q33" i="112"/>
  <c r="P33" i="112"/>
  <c r="O33" i="112"/>
  <c r="N33" i="112"/>
  <c r="M33" i="112"/>
  <c r="L33" i="112"/>
  <c r="K33" i="112"/>
  <c r="J33" i="112"/>
  <c r="I33" i="112"/>
  <c r="H33" i="112"/>
  <c r="G33" i="112"/>
  <c r="F33" i="112"/>
  <c r="E33" i="112"/>
  <c r="R31" i="112"/>
  <c r="Q31" i="112"/>
  <c r="P31" i="112"/>
  <c r="O31" i="112"/>
  <c r="N31" i="112"/>
  <c r="M31" i="112"/>
  <c r="L31" i="112"/>
  <c r="K31" i="112"/>
  <c r="J31" i="112"/>
  <c r="I31" i="112"/>
  <c r="H31" i="112"/>
  <c r="G31" i="112"/>
  <c r="F31" i="112"/>
  <c r="E31" i="112"/>
  <c r="R27" i="112"/>
  <c r="Q27" i="112"/>
  <c r="P27" i="112"/>
  <c r="O27" i="112"/>
  <c r="N27" i="112"/>
  <c r="M27" i="112"/>
  <c r="L27" i="112"/>
  <c r="K27" i="112"/>
  <c r="J27" i="112"/>
  <c r="I27" i="112"/>
  <c r="H27" i="112"/>
  <c r="G27" i="112"/>
  <c r="F27" i="112"/>
  <c r="E27" i="112"/>
  <c r="R25" i="112"/>
  <c r="Q25" i="112"/>
  <c r="P25" i="112"/>
  <c r="O25" i="112"/>
  <c r="N25" i="112"/>
  <c r="M25" i="112"/>
  <c r="L25" i="112"/>
  <c r="K25" i="112"/>
  <c r="J25" i="112"/>
  <c r="I25" i="112"/>
  <c r="H25" i="112"/>
  <c r="G25" i="112"/>
  <c r="F25" i="112"/>
  <c r="E25" i="112"/>
  <c r="R23" i="112"/>
  <c r="Q23" i="112"/>
  <c r="P23" i="112"/>
  <c r="O23" i="112"/>
  <c r="N23" i="112"/>
  <c r="M23" i="112"/>
  <c r="L23" i="112"/>
  <c r="K23" i="112"/>
  <c r="J23" i="112"/>
  <c r="I23" i="112"/>
  <c r="H23" i="112"/>
  <c r="G23" i="112"/>
  <c r="F23" i="112"/>
  <c r="E23" i="112"/>
  <c r="R17" i="112"/>
  <c r="Q17" i="112"/>
  <c r="P17" i="112"/>
  <c r="O17" i="112"/>
  <c r="N17" i="112"/>
  <c r="M17" i="112"/>
  <c r="L17" i="112"/>
  <c r="K17" i="112"/>
  <c r="J17" i="112"/>
  <c r="I17" i="112"/>
  <c r="H17" i="112"/>
  <c r="G17" i="112"/>
  <c r="F17" i="112"/>
  <c r="E17" i="112"/>
  <c r="R15" i="112"/>
  <c r="Q15" i="112"/>
  <c r="P15" i="112"/>
  <c r="O15" i="112"/>
  <c r="N15" i="112"/>
  <c r="M15" i="112"/>
  <c r="L15" i="112"/>
  <c r="K15" i="112"/>
  <c r="J15" i="112"/>
  <c r="I15" i="112"/>
  <c r="H15" i="112"/>
  <c r="G15" i="112"/>
  <c r="F15" i="112"/>
  <c r="E15" i="112"/>
  <c r="R13" i="112"/>
  <c r="Q13" i="112"/>
  <c r="P13" i="112"/>
  <c r="O13" i="112"/>
  <c r="N13" i="112"/>
  <c r="M13" i="112"/>
  <c r="L13" i="112"/>
  <c r="K13" i="112"/>
  <c r="J13" i="112"/>
  <c r="I13" i="112"/>
  <c r="H13" i="112"/>
  <c r="G13" i="112"/>
  <c r="F13" i="112"/>
  <c r="E13" i="112"/>
  <c r="R11" i="112"/>
  <c r="Q11" i="112"/>
  <c r="P11" i="112"/>
  <c r="O11" i="112"/>
  <c r="N11" i="112"/>
  <c r="M11" i="112"/>
  <c r="L11" i="112"/>
  <c r="K11" i="112"/>
  <c r="J11" i="112"/>
  <c r="I11" i="112"/>
  <c r="H11" i="112"/>
  <c r="G11" i="112"/>
  <c r="F11" i="112"/>
  <c r="E11" i="112"/>
  <c r="R9" i="112"/>
  <c r="Q9" i="112"/>
  <c r="P9" i="112"/>
  <c r="O9" i="112"/>
  <c r="N9" i="112"/>
  <c r="M9" i="112"/>
  <c r="L9" i="112"/>
  <c r="K9" i="112"/>
  <c r="J9" i="112"/>
  <c r="I9" i="112"/>
  <c r="H9" i="112"/>
  <c r="G9" i="112"/>
  <c r="F9" i="112"/>
  <c r="E9" i="112"/>
  <c r="R7" i="112"/>
  <c r="Q7" i="112"/>
  <c r="P7" i="112"/>
  <c r="O7" i="112"/>
  <c r="N7" i="112"/>
  <c r="M7" i="112"/>
  <c r="L7" i="112"/>
  <c r="K7" i="112"/>
  <c r="J7" i="112"/>
  <c r="I7" i="112"/>
  <c r="H7" i="112"/>
  <c r="G7" i="112"/>
  <c r="F7" i="112"/>
  <c r="E7" i="112"/>
  <c r="S32" i="112"/>
  <c r="S34" i="112"/>
  <c r="S36" i="112"/>
  <c r="S38" i="112"/>
  <c r="S40" i="112"/>
  <c r="S42" i="112"/>
  <c r="S44" i="112"/>
  <c r="S30" i="112"/>
  <c r="S28" i="112"/>
  <c r="S26" i="112"/>
  <c r="S22" i="112"/>
  <c r="S24" i="112"/>
  <c r="S20" i="112"/>
  <c r="S18" i="112"/>
  <c r="S8" i="112"/>
  <c r="S10" i="112"/>
  <c r="S12" i="112"/>
  <c r="S14" i="112"/>
  <c r="S16" i="112"/>
  <c r="S6" i="112"/>
  <c r="S4" i="112"/>
  <c r="S5" i="112" s="1"/>
  <c r="R35" i="111"/>
  <c r="Q35" i="111"/>
  <c r="P35" i="111"/>
  <c r="O35" i="111"/>
  <c r="N35" i="111"/>
  <c r="M35" i="111"/>
  <c r="I35" i="111"/>
  <c r="G35" i="111"/>
  <c r="E35" i="111"/>
  <c r="R27" i="111"/>
  <c r="Q27" i="111"/>
  <c r="P27" i="111"/>
  <c r="O27" i="111"/>
  <c r="N27" i="111"/>
  <c r="H27" i="111"/>
  <c r="G27" i="111"/>
  <c r="R45" i="111"/>
  <c r="Q45" i="111"/>
  <c r="P45" i="111"/>
  <c r="O45" i="111"/>
  <c r="N45" i="111"/>
  <c r="M45" i="111"/>
  <c r="L45" i="111"/>
  <c r="K45" i="111"/>
  <c r="J45" i="111"/>
  <c r="I45" i="111"/>
  <c r="H45" i="111"/>
  <c r="G45" i="111"/>
  <c r="F45" i="111"/>
  <c r="E45" i="111"/>
  <c r="R43" i="111"/>
  <c r="Q43" i="111"/>
  <c r="P43" i="111"/>
  <c r="O43" i="111"/>
  <c r="N43" i="111"/>
  <c r="M43" i="111"/>
  <c r="L43" i="111"/>
  <c r="K43" i="111"/>
  <c r="J43" i="111"/>
  <c r="I43" i="111"/>
  <c r="H43" i="111"/>
  <c r="G43" i="111"/>
  <c r="F43" i="111"/>
  <c r="E43" i="111"/>
  <c r="R41" i="111"/>
  <c r="Q41" i="111"/>
  <c r="P41" i="111"/>
  <c r="O41" i="111"/>
  <c r="N41" i="111"/>
  <c r="M41" i="111"/>
  <c r="L41" i="111"/>
  <c r="K41" i="111"/>
  <c r="J41" i="111"/>
  <c r="I41" i="111"/>
  <c r="H41" i="111"/>
  <c r="G41" i="111"/>
  <c r="F41" i="111"/>
  <c r="E41" i="111"/>
  <c r="R39" i="111"/>
  <c r="Q39" i="111"/>
  <c r="P39" i="111"/>
  <c r="O39" i="111"/>
  <c r="N39" i="111"/>
  <c r="M39" i="111"/>
  <c r="L39" i="111"/>
  <c r="K39" i="111"/>
  <c r="J39" i="111"/>
  <c r="I39" i="111"/>
  <c r="H39" i="111"/>
  <c r="G39" i="111"/>
  <c r="F39" i="111"/>
  <c r="E39" i="111"/>
  <c r="R37" i="111"/>
  <c r="Q37" i="111"/>
  <c r="P37" i="111"/>
  <c r="O37" i="111"/>
  <c r="N37" i="111"/>
  <c r="M37" i="111"/>
  <c r="L37" i="111"/>
  <c r="K37" i="111"/>
  <c r="J37" i="111"/>
  <c r="I37" i="111"/>
  <c r="H37" i="111"/>
  <c r="G37" i="111"/>
  <c r="F37" i="111"/>
  <c r="E37" i="111"/>
  <c r="R33" i="111"/>
  <c r="Q33" i="111"/>
  <c r="P33" i="111"/>
  <c r="O33" i="111"/>
  <c r="N33" i="111"/>
  <c r="M33" i="111"/>
  <c r="L33" i="111"/>
  <c r="K33" i="111"/>
  <c r="J33" i="111"/>
  <c r="I33" i="111"/>
  <c r="H33" i="111"/>
  <c r="G33" i="111"/>
  <c r="F33" i="111"/>
  <c r="E33" i="111"/>
  <c r="R31" i="111"/>
  <c r="Q31" i="111"/>
  <c r="P31" i="111"/>
  <c r="O31" i="111"/>
  <c r="N31" i="111"/>
  <c r="M31" i="111"/>
  <c r="L31" i="111"/>
  <c r="K31" i="111"/>
  <c r="J31" i="111"/>
  <c r="I31" i="111"/>
  <c r="H31" i="111"/>
  <c r="G31" i="111"/>
  <c r="F31" i="111"/>
  <c r="E31" i="111"/>
  <c r="R29" i="111"/>
  <c r="Q29" i="111"/>
  <c r="P29" i="111"/>
  <c r="O29" i="111"/>
  <c r="N29" i="111"/>
  <c r="M29" i="111"/>
  <c r="L29" i="111"/>
  <c r="K29" i="111"/>
  <c r="J29" i="111"/>
  <c r="I29" i="111"/>
  <c r="H29" i="111"/>
  <c r="G29" i="111"/>
  <c r="F29" i="111"/>
  <c r="E29" i="111"/>
  <c r="R25" i="111"/>
  <c r="Q25" i="111"/>
  <c r="P25" i="111"/>
  <c r="O25" i="111"/>
  <c r="N25" i="111"/>
  <c r="M25" i="111"/>
  <c r="L25" i="111"/>
  <c r="K25" i="111"/>
  <c r="J25" i="111"/>
  <c r="I25" i="111"/>
  <c r="H25" i="111"/>
  <c r="G25" i="111"/>
  <c r="F25" i="111"/>
  <c r="E25" i="111"/>
  <c r="R23" i="111"/>
  <c r="Q23" i="111"/>
  <c r="P23" i="111"/>
  <c r="O23" i="111"/>
  <c r="N23" i="111"/>
  <c r="M23" i="111"/>
  <c r="L23" i="111"/>
  <c r="K23" i="111"/>
  <c r="J23" i="111"/>
  <c r="I23" i="111"/>
  <c r="H23" i="111"/>
  <c r="G23" i="111"/>
  <c r="F23" i="111"/>
  <c r="E23" i="111"/>
  <c r="R21" i="111"/>
  <c r="Q21" i="111"/>
  <c r="P21" i="111"/>
  <c r="O21" i="111"/>
  <c r="N21" i="111"/>
  <c r="M21" i="111"/>
  <c r="L21" i="111"/>
  <c r="K21" i="111"/>
  <c r="J21" i="111"/>
  <c r="I21" i="111"/>
  <c r="H21" i="111"/>
  <c r="G21" i="111"/>
  <c r="F21" i="111"/>
  <c r="E21" i="111"/>
  <c r="R19" i="111"/>
  <c r="Q19" i="111"/>
  <c r="P19" i="111"/>
  <c r="O19" i="111"/>
  <c r="N19" i="111"/>
  <c r="M19" i="111"/>
  <c r="L19" i="111"/>
  <c r="K19" i="111"/>
  <c r="J19" i="111"/>
  <c r="I19" i="111"/>
  <c r="H19" i="111"/>
  <c r="G19" i="111"/>
  <c r="F19" i="111"/>
  <c r="E19" i="111"/>
  <c r="R17" i="111"/>
  <c r="Q17" i="111"/>
  <c r="P17" i="111"/>
  <c r="O17" i="111"/>
  <c r="N17" i="111"/>
  <c r="M17" i="111"/>
  <c r="L17" i="111"/>
  <c r="K17" i="111"/>
  <c r="J17" i="111"/>
  <c r="I17" i="111"/>
  <c r="H17" i="111"/>
  <c r="G17" i="111"/>
  <c r="F17" i="111"/>
  <c r="E17" i="111"/>
  <c r="R15" i="111"/>
  <c r="Q15" i="111"/>
  <c r="P15" i="111"/>
  <c r="O15" i="111"/>
  <c r="N15" i="111"/>
  <c r="M15" i="111"/>
  <c r="L15" i="111"/>
  <c r="K15" i="111"/>
  <c r="J15" i="111"/>
  <c r="I15" i="111"/>
  <c r="H15" i="111"/>
  <c r="G15" i="111"/>
  <c r="F15" i="111"/>
  <c r="E15" i="111"/>
  <c r="R13" i="111"/>
  <c r="Q13" i="111"/>
  <c r="P13" i="111"/>
  <c r="O13" i="111"/>
  <c r="N13" i="111"/>
  <c r="M13" i="111"/>
  <c r="L13" i="111"/>
  <c r="K13" i="111"/>
  <c r="J13" i="111"/>
  <c r="I13" i="111"/>
  <c r="H13" i="111"/>
  <c r="G13" i="111"/>
  <c r="F13" i="111"/>
  <c r="E13" i="111"/>
  <c r="R11" i="111"/>
  <c r="Q11" i="111"/>
  <c r="P11" i="111"/>
  <c r="O11" i="111"/>
  <c r="N11" i="111"/>
  <c r="M11" i="111"/>
  <c r="L11" i="111"/>
  <c r="K11" i="111"/>
  <c r="J11" i="111"/>
  <c r="I11" i="111"/>
  <c r="H11" i="111"/>
  <c r="G11" i="111"/>
  <c r="F11" i="111"/>
  <c r="E11" i="111"/>
  <c r="R9" i="111"/>
  <c r="Q9" i="111"/>
  <c r="P9" i="111"/>
  <c r="O9" i="111"/>
  <c r="N9" i="111"/>
  <c r="M9" i="111"/>
  <c r="L9" i="111"/>
  <c r="K9" i="111"/>
  <c r="J9" i="111"/>
  <c r="I9" i="111"/>
  <c r="H9" i="111"/>
  <c r="G9" i="111"/>
  <c r="F9" i="111"/>
  <c r="E9" i="111"/>
  <c r="R7" i="111"/>
  <c r="Q7" i="111"/>
  <c r="P7" i="111"/>
  <c r="O7" i="111"/>
  <c r="N7" i="111"/>
  <c r="M7" i="111"/>
  <c r="L7" i="111"/>
  <c r="K7" i="111"/>
  <c r="J7" i="111"/>
  <c r="I7" i="111"/>
  <c r="H7" i="111"/>
  <c r="G7" i="111"/>
  <c r="F7" i="111"/>
  <c r="E7" i="111"/>
  <c r="R5" i="111"/>
  <c r="Q5" i="111"/>
  <c r="P5" i="111"/>
  <c r="O5" i="111"/>
  <c r="N5" i="111"/>
  <c r="M5" i="111"/>
  <c r="L5" i="111"/>
  <c r="K5" i="111"/>
  <c r="J5" i="111"/>
  <c r="I5" i="111"/>
  <c r="H5" i="111"/>
  <c r="G5" i="111"/>
  <c r="F5" i="111"/>
  <c r="E5" i="111"/>
  <c r="S26" i="111"/>
  <c r="S34" i="111"/>
  <c r="O6" i="100"/>
  <c r="O8" i="100"/>
  <c r="O10" i="100"/>
  <c r="O12" i="100"/>
  <c r="O14" i="100"/>
  <c r="O16" i="100"/>
  <c r="O18" i="100"/>
  <c r="O20" i="100"/>
  <c r="O22" i="100"/>
  <c r="O24" i="100"/>
  <c r="O26" i="100"/>
  <c r="O28" i="100"/>
  <c r="O30" i="100"/>
  <c r="O32" i="100"/>
  <c r="O34" i="100"/>
  <c r="O36" i="100"/>
  <c r="O38" i="100"/>
  <c r="O40" i="100"/>
  <c r="O42" i="100"/>
  <c r="O44" i="100"/>
  <c r="O46" i="100"/>
  <c r="O48" i="100"/>
  <c r="O50" i="100"/>
  <c r="O52" i="100"/>
  <c r="O54" i="100"/>
  <c r="O56" i="100"/>
  <c r="O4" i="100"/>
  <c r="O6" i="1"/>
  <c r="O8" i="1"/>
  <c r="O10" i="1"/>
  <c r="O12" i="1"/>
  <c r="O14" i="1"/>
  <c r="O16" i="1"/>
  <c r="O18" i="1"/>
  <c r="O20" i="1"/>
  <c r="O22" i="1"/>
  <c r="O24" i="1"/>
  <c r="O26" i="1"/>
  <c r="O28" i="1"/>
  <c r="O30" i="1"/>
  <c r="O32" i="1"/>
  <c r="O34" i="1"/>
  <c r="O36" i="1"/>
  <c r="O38" i="1"/>
  <c r="O40" i="1"/>
  <c r="O42" i="1"/>
  <c r="O44" i="1"/>
  <c r="O46" i="1"/>
  <c r="O48" i="1"/>
  <c r="O50" i="1"/>
  <c r="O52" i="1"/>
  <c r="O54" i="1"/>
  <c r="O56" i="1"/>
  <c r="O4" i="1"/>
  <c r="S6" i="111"/>
  <c r="S8" i="111"/>
  <c r="S10" i="111"/>
  <c r="S12" i="111"/>
  <c r="S14" i="111"/>
  <c r="S16" i="111"/>
  <c r="S18" i="111"/>
  <c r="S20" i="111"/>
  <c r="S22" i="111"/>
  <c r="S24" i="111"/>
  <c r="S28" i="111"/>
  <c r="S30" i="111"/>
  <c r="S32" i="111"/>
  <c r="S36" i="111"/>
  <c r="S38" i="111"/>
  <c r="S40" i="111"/>
  <c r="S42" i="111"/>
  <c r="S44" i="111"/>
  <c r="S4" i="111"/>
  <c r="R35" i="110"/>
  <c r="Q35" i="110"/>
  <c r="P35" i="110"/>
  <c r="O35" i="110"/>
  <c r="N35" i="110"/>
  <c r="M35" i="110"/>
  <c r="L35" i="110"/>
  <c r="K35" i="110"/>
  <c r="J35" i="110"/>
  <c r="I35" i="110"/>
  <c r="H35" i="110"/>
  <c r="G35" i="110"/>
  <c r="F35" i="110"/>
  <c r="E35" i="110"/>
  <c r="R33" i="110"/>
  <c r="Q33" i="110"/>
  <c r="P33" i="110"/>
  <c r="O33" i="110"/>
  <c r="N33" i="110"/>
  <c r="M33" i="110"/>
  <c r="L33" i="110"/>
  <c r="K33" i="110"/>
  <c r="J33" i="110"/>
  <c r="I33" i="110"/>
  <c r="H33" i="110"/>
  <c r="G33" i="110"/>
  <c r="F33" i="110"/>
  <c r="E33" i="110"/>
  <c r="R31" i="110"/>
  <c r="Q31" i="110"/>
  <c r="P31" i="110"/>
  <c r="O31" i="110"/>
  <c r="N31" i="110"/>
  <c r="M31" i="110"/>
  <c r="L31" i="110"/>
  <c r="K31" i="110"/>
  <c r="J31" i="110"/>
  <c r="I31" i="110"/>
  <c r="H31" i="110"/>
  <c r="G31" i="110"/>
  <c r="F31" i="110"/>
  <c r="E31" i="110"/>
  <c r="R29" i="110"/>
  <c r="Q29" i="110"/>
  <c r="P29" i="110"/>
  <c r="O29" i="110"/>
  <c r="N29" i="110"/>
  <c r="M29" i="110"/>
  <c r="L29" i="110"/>
  <c r="K29" i="110"/>
  <c r="J29" i="110"/>
  <c r="I29" i="110"/>
  <c r="H29" i="110"/>
  <c r="G29" i="110"/>
  <c r="F29" i="110"/>
  <c r="E29" i="110"/>
  <c r="R27" i="110"/>
  <c r="Q27" i="110"/>
  <c r="P27" i="110"/>
  <c r="O27" i="110"/>
  <c r="N27" i="110"/>
  <c r="M27" i="110"/>
  <c r="L27" i="110"/>
  <c r="K27" i="110"/>
  <c r="J27" i="110"/>
  <c r="I27" i="110"/>
  <c r="H27" i="110"/>
  <c r="G27" i="110"/>
  <c r="F27" i="110"/>
  <c r="E27" i="110"/>
  <c r="R25" i="110"/>
  <c r="Q25" i="110"/>
  <c r="P25" i="110"/>
  <c r="O25" i="110"/>
  <c r="N25" i="110"/>
  <c r="M25" i="110"/>
  <c r="I25" i="110"/>
  <c r="G25" i="110"/>
  <c r="E25" i="110"/>
  <c r="R23" i="110"/>
  <c r="Q23" i="110"/>
  <c r="P23" i="110"/>
  <c r="O23" i="110"/>
  <c r="N23" i="110"/>
  <c r="M23" i="110"/>
  <c r="L23" i="110"/>
  <c r="K23" i="110"/>
  <c r="J23" i="110"/>
  <c r="I23" i="110"/>
  <c r="H23" i="110"/>
  <c r="G23" i="110"/>
  <c r="F23" i="110"/>
  <c r="E23" i="110"/>
  <c r="R21" i="110"/>
  <c r="Q21" i="110"/>
  <c r="P21" i="110"/>
  <c r="O21" i="110"/>
  <c r="N21" i="110"/>
  <c r="M21" i="110"/>
  <c r="L21" i="110"/>
  <c r="K21" i="110"/>
  <c r="J21" i="110"/>
  <c r="I21" i="110"/>
  <c r="H21" i="110"/>
  <c r="G21" i="110"/>
  <c r="F21" i="110"/>
  <c r="E21" i="110"/>
  <c r="R19" i="110"/>
  <c r="Q19" i="110"/>
  <c r="P19" i="110"/>
  <c r="O19" i="110"/>
  <c r="N19" i="110"/>
  <c r="M19" i="110"/>
  <c r="L19" i="110"/>
  <c r="K19" i="110"/>
  <c r="J19" i="110"/>
  <c r="I19" i="110"/>
  <c r="H19" i="110"/>
  <c r="G19" i="110"/>
  <c r="F19" i="110"/>
  <c r="E19" i="110"/>
  <c r="R17" i="110"/>
  <c r="Q17" i="110"/>
  <c r="P17" i="110"/>
  <c r="O17" i="110"/>
  <c r="N17" i="110"/>
  <c r="M17" i="110"/>
  <c r="L17" i="110"/>
  <c r="K17" i="110"/>
  <c r="J17" i="110"/>
  <c r="I17" i="110"/>
  <c r="H17" i="110"/>
  <c r="G17" i="110"/>
  <c r="F17" i="110"/>
  <c r="E17" i="110"/>
  <c r="R15" i="110"/>
  <c r="Q15" i="110"/>
  <c r="P15" i="110"/>
  <c r="O15" i="110"/>
  <c r="N15" i="110"/>
  <c r="M15" i="110"/>
  <c r="L15" i="110"/>
  <c r="K15" i="110"/>
  <c r="J15" i="110"/>
  <c r="I15" i="110"/>
  <c r="H15" i="110"/>
  <c r="G15" i="110"/>
  <c r="F15" i="110"/>
  <c r="E15" i="110"/>
  <c r="R13" i="110"/>
  <c r="Q13" i="110"/>
  <c r="P13" i="110"/>
  <c r="O13" i="110"/>
  <c r="N13" i="110"/>
  <c r="M13" i="110"/>
  <c r="L13" i="110"/>
  <c r="K13" i="110"/>
  <c r="J13" i="110"/>
  <c r="I13" i="110"/>
  <c r="H13" i="110"/>
  <c r="G13" i="110"/>
  <c r="F13" i="110"/>
  <c r="E13" i="110"/>
  <c r="R11" i="110"/>
  <c r="Q11" i="110"/>
  <c r="P11" i="110"/>
  <c r="O11" i="110"/>
  <c r="N11" i="110"/>
  <c r="M11" i="110"/>
  <c r="L11" i="110"/>
  <c r="K11" i="110"/>
  <c r="J11" i="110"/>
  <c r="I11" i="110"/>
  <c r="H11" i="110"/>
  <c r="G11" i="110"/>
  <c r="F11" i="110"/>
  <c r="E11" i="110"/>
  <c r="R9" i="110"/>
  <c r="Q9" i="110"/>
  <c r="P9" i="110"/>
  <c r="O9" i="110"/>
  <c r="N9" i="110"/>
  <c r="M9" i="110"/>
  <c r="L9" i="110"/>
  <c r="K9" i="110"/>
  <c r="J9" i="110"/>
  <c r="I9" i="110"/>
  <c r="H9" i="110"/>
  <c r="G9" i="110"/>
  <c r="F9" i="110"/>
  <c r="E9" i="110"/>
  <c r="R7" i="110"/>
  <c r="Q7" i="110"/>
  <c r="P7" i="110"/>
  <c r="O7" i="110"/>
  <c r="N7" i="110"/>
  <c r="M7" i="110"/>
  <c r="L7" i="110"/>
  <c r="K7" i="110"/>
  <c r="J7" i="110"/>
  <c r="I7" i="110"/>
  <c r="H7" i="110"/>
  <c r="G7" i="110"/>
  <c r="F7" i="110"/>
  <c r="E7" i="110"/>
  <c r="R5" i="110"/>
  <c r="Q5" i="110"/>
  <c r="P5" i="110"/>
  <c r="O5" i="110"/>
  <c r="N5" i="110"/>
  <c r="M5" i="110"/>
  <c r="L5" i="110"/>
  <c r="K5" i="110"/>
  <c r="J5" i="110"/>
  <c r="I5" i="110"/>
  <c r="H5" i="110"/>
  <c r="G5" i="110"/>
  <c r="F5" i="110"/>
  <c r="E5" i="110"/>
  <c r="S6" i="110"/>
  <c r="S8" i="110"/>
  <c r="S10" i="110"/>
  <c r="S12" i="110"/>
  <c r="S14" i="110"/>
  <c r="S16" i="110"/>
  <c r="S18" i="110"/>
  <c r="S20" i="110"/>
  <c r="S22" i="110"/>
  <c r="S24" i="110"/>
  <c r="S26" i="110"/>
  <c r="S28" i="110"/>
  <c r="S30" i="110"/>
  <c r="S32" i="110"/>
  <c r="S34" i="110"/>
  <c r="S4" i="110"/>
  <c r="R41" i="109"/>
  <c r="Q41" i="109"/>
  <c r="P41" i="109"/>
  <c r="O41" i="109"/>
  <c r="N41" i="109"/>
  <c r="M41" i="109"/>
  <c r="L41" i="109"/>
  <c r="K41" i="109"/>
  <c r="J41" i="109"/>
  <c r="I41" i="109"/>
  <c r="H41" i="109"/>
  <c r="G41" i="109"/>
  <c r="F41" i="109"/>
  <c r="E41" i="109"/>
  <c r="R39" i="109"/>
  <c r="Q39" i="109"/>
  <c r="P39" i="109"/>
  <c r="O39" i="109"/>
  <c r="N39" i="109"/>
  <c r="M39" i="109"/>
  <c r="L39" i="109"/>
  <c r="K39" i="109"/>
  <c r="J39" i="109"/>
  <c r="I39" i="109"/>
  <c r="H39" i="109"/>
  <c r="G39" i="109"/>
  <c r="F39" i="109"/>
  <c r="E39" i="109"/>
  <c r="R37" i="109"/>
  <c r="Q37" i="109"/>
  <c r="P37" i="109"/>
  <c r="O37" i="109"/>
  <c r="N37" i="109"/>
  <c r="M37" i="109"/>
  <c r="L37" i="109"/>
  <c r="K37" i="109"/>
  <c r="J37" i="109"/>
  <c r="I37" i="109"/>
  <c r="H37" i="109"/>
  <c r="G37" i="109"/>
  <c r="F37" i="109"/>
  <c r="E37" i="109"/>
  <c r="R35" i="109"/>
  <c r="Q35" i="109"/>
  <c r="P35" i="109"/>
  <c r="O35" i="109"/>
  <c r="N35" i="109"/>
  <c r="M35" i="109"/>
  <c r="L35" i="109"/>
  <c r="K35" i="109"/>
  <c r="J35" i="109"/>
  <c r="I35" i="109"/>
  <c r="H35" i="109"/>
  <c r="G35" i="109"/>
  <c r="F35" i="109"/>
  <c r="E35" i="109"/>
  <c r="R33" i="109"/>
  <c r="Q33" i="109"/>
  <c r="P33" i="109"/>
  <c r="O33" i="109"/>
  <c r="N33" i="109"/>
  <c r="M33" i="109"/>
  <c r="L33" i="109"/>
  <c r="K33" i="109"/>
  <c r="J33" i="109"/>
  <c r="I33" i="109"/>
  <c r="H33" i="109"/>
  <c r="G33" i="109"/>
  <c r="F33" i="109"/>
  <c r="E33" i="109"/>
  <c r="R31" i="109"/>
  <c r="Q31" i="109"/>
  <c r="P31" i="109"/>
  <c r="O31" i="109"/>
  <c r="N31" i="109"/>
  <c r="M31" i="109"/>
  <c r="L31" i="109"/>
  <c r="K31" i="109"/>
  <c r="J31" i="109"/>
  <c r="I31" i="109"/>
  <c r="H31" i="109"/>
  <c r="G31" i="109"/>
  <c r="F31" i="109"/>
  <c r="E31" i="109"/>
  <c r="R29" i="109"/>
  <c r="Q29" i="109"/>
  <c r="P29" i="109"/>
  <c r="O29" i="109"/>
  <c r="N29" i="109"/>
  <c r="M29" i="109"/>
  <c r="L29" i="109"/>
  <c r="K29" i="109"/>
  <c r="J29" i="109"/>
  <c r="I29" i="109"/>
  <c r="H29" i="109"/>
  <c r="G29" i="109"/>
  <c r="F29" i="109"/>
  <c r="E29" i="109"/>
  <c r="R27" i="109"/>
  <c r="Q27" i="109"/>
  <c r="P27" i="109"/>
  <c r="O27" i="109"/>
  <c r="N27" i="109"/>
  <c r="M27" i="109"/>
  <c r="L27" i="109"/>
  <c r="K27" i="109"/>
  <c r="J27" i="109"/>
  <c r="I27" i="109"/>
  <c r="H27" i="109"/>
  <c r="G27" i="109"/>
  <c r="F27" i="109"/>
  <c r="E27" i="109"/>
  <c r="R25" i="109"/>
  <c r="Q25" i="109"/>
  <c r="P25" i="109"/>
  <c r="O25" i="109"/>
  <c r="N25" i="109"/>
  <c r="M25" i="109"/>
  <c r="L25" i="109"/>
  <c r="K25" i="109"/>
  <c r="J25" i="109"/>
  <c r="I25" i="109"/>
  <c r="H25" i="109"/>
  <c r="G25" i="109"/>
  <c r="F25" i="109"/>
  <c r="E25" i="109"/>
  <c r="R23" i="109"/>
  <c r="Q23" i="109"/>
  <c r="P23" i="109"/>
  <c r="O23" i="109"/>
  <c r="N23" i="109"/>
  <c r="M23" i="109"/>
  <c r="L23" i="109"/>
  <c r="K23" i="109"/>
  <c r="J23" i="109"/>
  <c r="I23" i="109"/>
  <c r="H23" i="109"/>
  <c r="G23" i="109"/>
  <c r="F23" i="109"/>
  <c r="E23" i="109"/>
  <c r="R21" i="109"/>
  <c r="Q21" i="109"/>
  <c r="P21" i="109"/>
  <c r="O21" i="109"/>
  <c r="N21" i="109"/>
  <c r="M21" i="109"/>
  <c r="L21" i="109"/>
  <c r="K21" i="109"/>
  <c r="J21" i="109"/>
  <c r="I21" i="109"/>
  <c r="H21" i="109"/>
  <c r="G21" i="109"/>
  <c r="F21" i="109"/>
  <c r="E21" i="109"/>
  <c r="R19" i="109"/>
  <c r="Q19" i="109"/>
  <c r="P19" i="109"/>
  <c r="O19" i="109"/>
  <c r="N19" i="109"/>
  <c r="M19" i="109"/>
  <c r="L19" i="109"/>
  <c r="K19" i="109"/>
  <c r="J19" i="109"/>
  <c r="I19" i="109"/>
  <c r="H19" i="109"/>
  <c r="G19" i="109"/>
  <c r="F19" i="109"/>
  <c r="E19" i="109"/>
  <c r="R17" i="109"/>
  <c r="Q17" i="109"/>
  <c r="P17" i="109"/>
  <c r="O17" i="109"/>
  <c r="N17" i="109"/>
  <c r="M17" i="109"/>
  <c r="L17" i="109"/>
  <c r="K17" i="109"/>
  <c r="J17" i="109"/>
  <c r="I17" i="109"/>
  <c r="H17" i="109"/>
  <c r="G17" i="109"/>
  <c r="F17" i="109"/>
  <c r="E17" i="109"/>
  <c r="R15" i="109"/>
  <c r="Q15" i="109"/>
  <c r="P15" i="109"/>
  <c r="O15" i="109"/>
  <c r="N15" i="109"/>
  <c r="M15" i="109"/>
  <c r="L15" i="109"/>
  <c r="K15" i="109"/>
  <c r="J15" i="109"/>
  <c r="I15" i="109"/>
  <c r="H15" i="109"/>
  <c r="G15" i="109"/>
  <c r="F15" i="109"/>
  <c r="E15" i="109"/>
  <c r="R13" i="109"/>
  <c r="Q13" i="109"/>
  <c r="P13" i="109"/>
  <c r="O13" i="109"/>
  <c r="N13" i="109"/>
  <c r="M13" i="109"/>
  <c r="L13" i="109"/>
  <c r="K13" i="109"/>
  <c r="J13" i="109"/>
  <c r="I13" i="109"/>
  <c r="H13" i="109"/>
  <c r="G13" i="109"/>
  <c r="F13" i="109"/>
  <c r="E13" i="109"/>
  <c r="R11" i="109"/>
  <c r="Q11" i="109"/>
  <c r="P11" i="109"/>
  <c r="O11" i="109"/>
  <c r="N11" i="109"/>
  <c r="M11" i="109"/>
  <c r="L11" i="109"/>
  <c r="K11" i="109"/>
  <c r="J11" i="109"/>
  <c r="I11" i="109"/>
  <c r="H11" i="109"/>
  <c r="G11" i="109"/>
  <c r="F11" i="109"/>
  <c r="E11" i="109"/>
  <c r="R9" i="109"/>
  <c r="Q9" i="109"/>
  <c r="P9" i="109"/>
  <c r="O9" i="109"/>
  <c r="N9" i="109"/>
  <c r="M9" i="109"/>
  <c r="L9" i="109"/>
  <c r="K9" i="109"/>
  <c r="J9" i="109"/>
  <c r="I9" i="109"/>
  <c r="H9" i="109"/>
  <c r="G9" i="109"/>
  <c r="F9" i="109"/>
  <c r="E9" i="109"/>
  <c r="R7" i="109"/>
  <c r="Q7" i="109"/>
  <c r="P7" i="109"/>
  <c r="O7" i="109"/>
  <c r="N7" i="109"/>
  <c r="M7" i="109"/>
  <c r="L7" i="109"/>
  <c r="K7" i="109"/>
  <c r="J7" i="109"/>
  <c r="I7" i="109"/>
  <c r="H7" i="109"/>
  <c r="G7" i="109"/>
  <c r="F7" i="109"/>
  <c r="E7" i="109"/>
  <c r="P5" i="109"/>
  <c r="Q5" i="109"/>
  <c r="R5" i="109"/>
  <c r="O5" i="109"/>
  <c r="N5" i="109"/>
  <c r="M5" i="109"/>
  <c r="L5" i="109"/>
  <c r="K5" i="109"/>
  <c r="J5" i="109"/>
  <c r="I5" i="109"/>
  <c r="H5" i="109"/>
  <c r="G5" i="109"/>
  <c r="F5" i="109"/>
  <c r="E5" i="109"/>
  <c r="S6" i="109"/>
  <c r="S8" i="109"/>
  <c r="S10" i="109"/>
  <c r="S12" i="109"/>
  <c r="S14" i="109"/>
  <c r="S16" i="109"/>
  <c r="S18" i="109"/>
  <c r="S20" i="109"/>
  <c r="S22" i="109"/>
  <c r="S24" i="109"/>
  <c r="S26" i="109"/>
  <c r="S28" i="109"/>
  <c r="S30" i="109"/>
  <c r="S32" i="109"/>
  <c r="S34" i="109"/>
  <c r="S36" i="109"/>
  <c r="S38" i="109"/>
  <c r="S40" i="109"/>
  <c r="S4" i="109"/>
  <c r="P32" i="108"/>
  <c r="F51" i="108"/>
  <c r="F29" i="108" s="1"/>
  <c r="F37" i="108"/>
  <c r="F39" i="108" s="1"/>
  <c r="F41" i="108" s="1"/>
  <c r="F43" i="108" s="1"/>
  <c r="F45" i="108" s="1"/>
  <c r="F47" i="108" s="1"/>
  <c r="F35" i="108"/>
  <c r="O5" i="108"/>
  <c r="O7" i="108" s="1"/>
  <c r="O9" i="108" s="1"/>
  <c r="O11" i="108" s="1"/>
  <c r="O13" i="108" s="1"/>
  <c r="O15" i="108" s="1"/>
  <c r="O17" i="108" s="1"/>
  <c r="O19" i="108" s="1"/>
  <c r="O21" i="108" s="1"/>
  <c r="O23" i="108" s="1"/>
  <c r="O25" i="108" s="1"/>
  <c r="O27" i="108" s="1"/>
  <c r="O31" i="108" s="1"/>
  <c r="O33" i="108" s="1"/>
  <c r="O35" i="108" s="1"/>
  <c r="O37" i="108" s="1"/>
  <c r="O39" i="108" s="1"/>
  <c r="O41" i="108" s="1"/>
  <c r="O43" i="108" s="1"/>
  <c r="O45" i="108" s="1"/>
  <c r="O47" i="108" s="1"/>
  <c r="O49" i="108" s="1"/>
  <c r="O51" i="108" s="1"/>
  <c r="O29" i="108" s="1"/>
  <c r="N5" i="108"/>
  <c r="N7" i="108" s="1"/>
  <c r="N9" i="108" s="1"/>
  <c r="N11" i="108" s="1"/>
  <c r="N13" i="108" s="1"/>
  <c r="N15" i="108" s="1"/>
  <c r="N17" i="108" s="1"/>
  <c r="N19" i="108" s="1"/>
  <c r="N21" i="108" s="1"/>
  <c r="N23" i="108" s="1"/>
  <c r="N25" i="108" s="1"/>
  <c r="N27" i="108" s="1"/>
  <c r="N31" i="108" s="1"/>
  <c r="N33" i="108" s="1"/>
  <c r="N35" i="108" s="1"/>
  <c r="N37" i="108" s="1"/>
  <c r="N39" i="108" s="1"/>
  <c r="N41" i="108" s="1"/>
  <c r="N43" i="108" s="1"/>
  <c r="N45" i="108" s="1"/>
  <c r="N47" i="108" s="1"/>
  <c r="N49" i="108" s="1"/>
  <c r="N51" i="108" s="1"/>
  <c r="N29" i="108" s="1"/>
  <c r="M5" i="108"/>
  <c r="M7" i="108" s="1"/>
  <c r="M9" i="108" s="1"/>
  <c r="M11" i="108" s="1"/>
  <c r="M13" i="108" s="1"/>
  <c r="M15" i="108" s="1"/>
  <c r="M17" i="108" s="1"/>
  <c r="M19" i="108" s="1"/>
  <c r="M21" i="108" s="1"/>
  <c r="M23" i="108" s="1"/>
  <c r="M25" i="108" s="1"/>
  <c r="M27" i="108" s="1"/>
  <c r="M31" i="108" s="1"/>
  <c r="M33" i="108" s="1"/>
  <c r="M35" i="108" s="1"/>
  <c r="M37" i="108" s="1"/>
  <c r="M39" i="108" s="1"/>
  <c r="M41" i="108" s="1"/>
  <c r="M43" i="108" s="1"/>
  <c r="M45" i="108" s="1"/>
  <c r="M47" i="108" s="1"/>
  <c r="M49" i="108" s="1"/>
  <c r="M51" i="108" s="1"/>
  <c r="M29" i="108" s="1"/>
  <c r="L5" i="108"/>
  <c r="L7" i="108" s="1"/>
  <c r="L9" i="108" s="1"/>
  <c r="L11" i="108" s="1"/>
  <c r="L13" i="108" s="1"/>
  <c r="L15" i="108" s="1"/>
  <c r="L17" i="108" s="1"/>
  <c r="L19" i="108" s="1"/>
  <c r="L21" i="108" s="1"/>
  <c r="L23" i="108" s="1"/>
  <c r="L25" i="108" s="1"/>
  <c r="L27" i="108" s="1"/>
  <c r="L31" i="108" s="1"/>
  <c r="L33" i="108" s="1"/>
  <c r="L35" i="108" s="1"/>
  <c r="L37" i="108" s="1"/>
  <c r="L39" i="108" s="1"/>
  <c r="L41" i="108" s="1"/>
  <c r="L43" i="108" s="1"/>
  <c r="L45" i="108" s="1"/>
  <c r="L47" i="108" s="1"/>
  <c r="L49" i="108" s="1"/>
  <c r="L51" i="108" s="1"/>
  <c r="L29" i="108" s="1"/>
  <c r="K5" i="108"/>
  <c r="K7" i="108" s="1"/>
  <c r="K9" i="108" s="1"/>
  <c r="K11" i="108" s="1"/>
  <c r="K13" i="108" s="1"/>
  <c r="K15" i="108" s="1"/>
  <c r="K17" i="108" s="1"/>
  <c r="K19" i="108" s="1"/>
  <c r="K21" i="108" s="1"/>
  <c r="K23" i="108" s="1"/>
  <c r="K25" i="108" s="1"/>
  <c r="K27" i="108" s="1"/>
  <c r="K31" i="108" s="1"/>
  <c r="K33" i="108" s="1"/>
  <c r="K35" i="108" s="1"/>
  <c r="K37" i="108" s="1"/>
  <c r="K39" i="108" s="1"/>
  <c r="K41" i="108" s="1"/>
  <c r="K43" i="108" s="1"/>
  <c r="K45" i="108" s="1"/>
  <c r="K47" i="108" s="1"/>
  <c r="K49" i="108" s="1"/>
  <c r="K51" i="108" s="1"/>
  <c r="K29" i="108" s="1"/>
  <c r="J5" i="108"/>
  <c r="J7" i="108" s="1"/>
  <c r="J9" i="108" s="1"/>
  <c r="J11" i="108" s="1"/>
  <c r="J13" i="108" s="1"/>
  <c r="J15" i="108" s="1"/>
  <c r="J17" i="108" s="1"/>
  <c r="J19" i="108" s="1"/>
  <c r="J21" i="108" s="1"/>
  <c r="J23" i="108" s="1"/>
  <c r="J25" i="108" s="1"/>
  <c r="J27" i="108" s="1"/>
  <c r="J31" i="108" s="1"/>
  <c r="J33" i="108" s="1"/>
  <c r="J35" i="108" s="1"/>
  <c r="J37" i="108" s="1"/>
  <c r="J39" i="108" s="1"/>
  <c r="J41" i="108" s="1"/>
  <c r="J43" i="108" s="1"/>
  <c r="J45" i="108" s="1"/>
  <c r="J47" i="108" s="1"/>
  <c r="J49" i="108" s="1"/>
  <c r="J51" i="108" s="1"/>
  <c r="J29" i="108" s="1"/>
  <c r="I5" i="108"/>
  <c r="I7" i="108" s="1"/>
  <c r="I9" i="108" s="1"/>
  <c r="I11" i="108" s="1"/>
  <c r="I13" i="108" s="1"/>
  <c r="I15" i="108" s="1"/>
  <c r="I17" i="108" s="1"/>
  <c r="I19" i="108" s="1"/>
  <c r="I21" i="108" s="1"/>
  <c r="I23" i="108" s="1"/>
  <c r="I25" i="108" s="1"/>
  <c r="I27" i="108" s="1"/>
  <c r="I31" i="108" s="1"/>
  <c r="I33" i="108" s="1"/>
  <c r="I35" i="108" s="1"/>
  <c r="I37" i="108" s="1"/>
  <c r="I39" i="108" s="1"/>
  <c r="I41" i="108" s="1"/>
  <c r="I43" i="108" s="1"/>
  <c r="I45" i="108" s="1"/>
  <c r="I47" i="108" s="1"/>
  <c r="I49" i="108" s="1"/>
  <c r="I51" i="108" s="1"/>
  <c r="I29" i="108" s="1"/>
  <c r="H5" i="108"/>
  <c r="H7" i="108" s="1"/>
  <c r="H9" i="108" s="1"/>
  <c r="H11" i="108" s="1"/>
  <c r="H13" i="108" s="1"/>
  <c r="H15" i="108" s="1"/>
  <c r="H17" i="108" s="1"/>
  <c r="H19" i="108" s="1"/>
  <c r="H21" i="108" s="1"/>
  <c r="H23" i="108" s="1"/>
  <c r="H25" i="108" s="1"/>
  <c r="H27" i="108" s="1"/>
  <c r="H31" i="108" s="1"/>
  <c r="H33" i="108" s="1"/>
  <c r="H35" i="108" s="1"/>
  <c r="H37" i="108" s="1"/>
  <c r="H39" i="108" s="1"/>
  <c r="H41" i="108" s="1"/>
  <c r="H43" i="108" s="1"/>
  <c r="H45" i="108" s="1"/>
  <c r="H47" i="108" s="1"/>
  <c r="H49" i="108" s="1"/>
  <c r="H51" i="108" s="1"/>
  <c r="H29" i="108" s="1"/>
  <c r="G5" i="108"/>
  <c r="G7" i="108" s="1"/>
  <c r="G9" i="108" s="1"/>
  <c r="G11" i="108" s="1"/>
  <c r="G13" i="108" s="1"/>
  <c r="G15" i="108" s="1"/>
  <c r="G17" i="108" s="1"/>
  <c r="G19" i="108" s="1"/>
  <c r="G21" i="108" s="1"/>
  <c r="G23" i="108" s="1"/>
  <c r="G25" i="108" s="1"/>
  <c r="G27" i="108" s="1"/>
  <c r="G31" i="108" s="1"/>
  <c r="G33" i="108" s="1"/>
  <c r="G35" i="108" s="1"/>
  <c r="G37" i="108" s="1"/>
  <c r="G39" i="108" s="1"/>
  <c r="G41" i="108" s="1"/>
  <c r="G43" i="108" s="1"/>
  <c r="G45" i="108" s="1"/>
  <c r="G47" i="108" s="1"/>
  <c r="G49" i="108" s="1"/>
  <c r="G51" i="108" s="1"/>
  <c r="G29" i="108" s="1"/>
  <c r="F5" i="108"/>
  <c r="F7" i="108" s="1"/>
  <c r="F9" i="108" s="1"/>
  <c r="F11" i="108" s="1"/>
  <c r="F13" i="108" s="1"/>
  <c r="F15" i="108" s="1"/>
  <c r="F17" i="108" s="1"/>
  <c r="F19" i="108" s="1"/>
  <c r="F21" i="108" s="1"/>
  <c r="F23" i="108" s="1"/>
  <c r="F25" i="108" s="1"/>
  <c r="F27" i="108" s="1"/>
  <c r="F31" i="108" s="1"/>
  <c r="E5" i="108"/>
  <c r="E7" i="108" s="1"/>
  <c r="E9" i="108" s="1"/>
  <c r="E11" i="108" s="1"/>
  <c r="E13" i="108" s="1"/>
  <c r="E15" i="108" s="1"/>
  <c r="E17" i="108" s="1"/>
  <c r="E19" i="108" s="1"/>
  <c r="E21" i="108" s="1"/>
  <c r="E23" i="108" s="1"/>
  <c r="E25" i="108" s="1"/>
  <c r="E27" i="108" s="1"/>
  <c r="E31" i="108" s="1"/>
  <c r="E33" i="108" s="1"/>
  <c r="E35" i="108" s="1"/>
  <c r="E37" i="108" s="1"/>
  <c r="E39" i="108" s="1"/>
  <c r="E41" i="108" s="1"/>
  <c r="E43" i="108" s="1"/>
  <c r="E45" i="108" s="1"/>
  <c r="E47" i="108" s="1"/>
  <c r="E49" i="108" s="1"/>
  <c r="E51" i="108" s="1"/>
  <c r="E29" i="108" s="1"/>
  <c r="P6" i="108"/>
  <c r="P8" i="108"/>
  <c r="P10" i="108"/>
  <c r="P12" i="108"/>
  <c r="P14" i="108"/>
  <c r="P16" i="108"/>
  <c r="P18" i="108"/>
  <c r="P20" i="108"/>
  <c r="P22" i="108"/>
  <c r="P24" i="108"/>
  <c r="P26" i="108"/>
  <c r="P30" i="108"/>
  <c r="P34" i="108"/>
  <c r="P36" i="108"/>
  <c r="P38" i="108"/>
  <c r="P40" i="108"/>
  <c r="P42" i="108"/>
  <c r="P44" i="108"/>
  <c r="P46" i="108"/>
  <c r="P48" i="108"/>
  <c r="P50" i="108"/>
  <c r="P28" i="108"/>
  <c r="P4" i="108"/>
  <c r="O55" i="107"/>
  <c r="N55" i="107"/>
  <c r="M55" i="107"/>
  <c r="L55" i="107"/>
  <c r="K55" i="107"/>
  <c r="J55" i="107"/>
  <c r="I55" i="107"/>
  <c r="H55" i="107"/>
  <c r="G55" i="107"/>
  <c r="F55" i="107"/>
  <c r="E55" i="107"/>
  <c r="O53" i="107"/>
  <c r="N53" i="107"/>
  <c r="M53" i="107"/>
  <c r="L53" i="107"/>
  <c r="K53" i="107"/>
  <c r="J53" i="107"/>
  <c r="I53" i="107"/>
  <c r="H53" i="107"/>
  <c r="G53" i="107"/>
  <c r="F53" i="107"/>
  <c r="E53" i="107"/>
  <c r="O51" i="107"/>
  <c r="N51" i="107"/>
  <c r="M51" i="107"/>
  <c r="L51" i="107"/>
  <c r="K51" i="107"/>
  <c r="J51" i="107"/>
  <c r="I51" i="107"/>
  <c r="H51" i="107"/>
  <c r="G51" i="107"/>
  <c r="F51" i="107"/>
  <c r="E51" i="107"/>
  <c r="O49" i="107"/>
  <c r="N49" i="107"/>
  <c r="M49" i="107"/>
  <c r="L49" i="107"/>
  <c r="K49" i="107"/>
  <c r="J49" i="107"/>
  <c r="I49" i="107"/>
  <c r="H49" i="107"/>
  <c r="G49" i="107"/>
  <c r="F49" i="107"/>
  <c r="E49" i="107"/>
  <c r="O47" i="107"/>
  <c r="N47" i="107"/>
  <c r="M47" i="107"/>
  <c r="L47" i="107"/>
  <c r="K47" i="107"/>
  <c r="J47" i="107"/>
  <c r="I47" i="107"/>
  <c r="H47" i="107"/>
  <c r="G47" i="107"/>
  <c r="F47" i="107"/>
  <c r="E47" i="107"/>
  <c r="O45" i="107"/>
  <c r="N45" i="107"/>
  <c r="M45" i="107"/>
  <c r="L45" i="107"/>
  <c r="K45" i="107"/>
  <c r="J45" i="107"/>
  <c r="I45" i="107"/>
  <c r="H45" i="107"/>
  <c r="G45" i="107"/>
  <c r="F45" i="107"/>
  <c r="E45" i="107"/>
  <c r="O43" i="107"/>
  <c r="N43" i="107"/>
  <c r="M43" i="107"/>
  <c r="L43" i="107"/>
  <c r="K43" i="107"/>
  <c r="J43" i="107"/>
  <c r="I43" i="107"/>
  <c r="H43" i="107"/>
  <c r="G43" i="107"/>
  <c r="F43" i="107"/>
  <c r="E43" i="107"/>
  <c r="O41" i="107"/>
  <c r="N41" i="107"/>
  <c r="M41" i="107"/>
  <c r="L41" i="107"/>
  <c r="K41" i="107"/>
  <c r="J41" i="107"/>
  <c r="I41" i="107"/>
  <c r="H41" i="107"/>
  <c r="G41" i="107"/>
  <c r="F41" i="107"/>
  <c r="E41" i="107"/>
  <c r="O39" i="107"/>
  <c r="N39" i="107"/>
  <c r="M39" i="107"/>
  <c r="L39" i="107"/>
  <c r="K39" i="107"/>
  <c r="J39" i="107"/>
  <c r="I39" i="107"/>
  <c r="H39" i="107"/>
  <c r="G39" i="107"/>
  <c r="F39" i="107"/>
  <c r="E39" i="107"/>
  <c r="O37" i="107"/>
  <c r="N37" i="107"/>
  <c r="M37" i="107"/>
  <c r="L37" i="107"/>
  <c r="K37" i="107"/>
  <c r="J37" i="107"/>
  <c r="I37" i="107"/>
  <c r="H37" i="107"/>
  <c r="G37" i="107"/>
  <c r="F37" i="107"/>
  <c r="E37" i="107"/>
  <c r="O35" i="107"/>
  <c r="N35" i="107"/>
  <c r="M35" i="107"/>
  <c r="L35" i="107"/>
  <c r="K35" i="107"/>
  <c r="J35" i="107"/>
  <c r="I35" i="107"/>
  <c r="H35" i="107"/>
  <c r="G35" i="107"/>
  <c r="F35" i="107"/>
  <c r="E35" i="107"/>
  <c r="O33" i="107"/>
  <c r="N33" i="107"/>
  <c r="M33" i="107"/>
  <c r="L33" i="107"/>
  <c r="K33" i="107"/>
  <c r="J33" i="107"/>
  <c r="I33" i="107"/>
  <c r="H33" i="107"/>
  <c r="G33" i="107"/>
  <c r="F33" i="107"/>
  <c r="E33" i="107"/>
  <c r="O31" i="107"/>
  <c r="N31" i="107"/>
  <c r="M31" i="107"/>
  <c r="L31" i="107"/>
  <c r="K31" i="107"/>
  <c r="J31" i="107"/>
  <c r="I31" i="107"/>
  <c r="H31" i="107"/>
  <c r="G31" i="107"/>
  <c r="F31" i="107"/>
  <c r="E31" i="107"/>
  <c r="O29" i="107"/>
  <c r="N29" i="107"/>
  <c r="M29" i="107"/>
  <c r="L29" i="107"/>
  <c r="K29" i="107"/>
  <c r="J29" i="107"/>
  <c r="I29" i="107"/>
  <c r="H29" i="107"/>
  <c r="G29" i="107"/>
  <c r="F29" i="107"/>
  <c r="E29" i="107"/>
  <c r="O27" i="107"/>
  <c r="N27" i="107"/>
  <c r="M27" i="107"/>
  <c r="L27" i="107"/>
  <c r="K27" i="107"/>
  <c r="J27" i="107"/>
  <c r="I27" i="107"/>
  <c r="H27" i="107"/>
  <c r="G27" i="107"/>
  <c r="F27" i="107"/>
  <c r="E27" i="107"/>
  <c r="O25" i="107"/>
  <c r="N25" i="107"/>
  <c r="M25" i="107"/>
  <c r="L25" i="107"/>
  <c r="K25" i="107"/>
  <c r="J25" i="107"/>
  <c r="I25" i="107"/>
  <c r="H25" i="107"/>
  <c r="G25" i="107"/>
  <c r="F25" i="107"/>
  <c r="E25" i="107"/>
  <c r="O23" i="107"/>
  <c r="N23" i="107"/>
  <c r="M23" i="107"/>
  <c r="L23" i="107"/>
  <c r="K23" i="107"/>
  <c r="J23" i="107"/>
  <c r="I23" i="107"/>
  <c r="H23" i="107"/>
  <c r="G23" i="107"/>
  <c r="F23" i="107"/>
  <c r="E23" i="107"/>
  <c r="O21" i="107"/>
  <c r="N21" i="107"/>
  <c r="M21" i="107"/>
  <c r="L21" i="107"/>
  <c r="K21" i="107"/>
  <c r="J21" i="107"/>
  <c r="I21" i="107"/>
  <c r="H21" i="107"/>
  <c r="G21" i="107"/>
  <c r="F21" i="107"/>
  <c r="E21" i="107"/>
  <c r="O19" i="107"/>
  <c r="N19" i="107"/>
  <c r="M19" i="107"/>
  <c r="L19" i="107"/>
  <c r="K19" i="107"/>
  <c r="J19" i="107"/>
  <c r="I19" i="107"/>
  <c r="H19" i="107"/>
  <c r="G19" i="107"/>
  <c r="F19" i="107"/>
  <c r="E19" i="107"/>
  <c r="O17" i="107"/>
  <c r="N17" i="107"/>
  <c r="M17" i="107"/>
  <c r="L17" i="107"/>
  <c r="K17" i="107"/>
  <c r="J17" i="107"/>
  <c r="I17" i="107"/>
  <c r="H17" i="107"/>
  <c r="G17" i="107"/>
  <c r="F17" i="107"/>
  <c r="E17" i="107"/>
  <c r="O15" i="107"/>
  <c r="N15" i="107"/>
  <c r="M15" i="107"/>
  <c r="L15" i="107"/>
  <c r="K15" i="107"/>
  <c r="J15" i="107"/>
  <c r="I15" i="107"/>
  <c r="H15" i="107"/>
  <c r="G15" i="107"/>
  <c r="F15" i="107"/>
  <c r="E15" i="107"/>
  <c r="O13" i="107"/>
  <c r="N13" i="107"/>
  <c r="M13" i="107"/>
  <c r="L13" i="107"/>
  <c r="K13" i="107"/>
  <c r="J13" i="107"/>
  <c r="I13" i="107"/>
  <c r="H13" i="107"/>
  <c r="G13" i="107"/>
  <c r="F13" i="107"/>
  <c r="E13" i="107"/>
  <c r="O11" i="107"/>
  <c r="N11" i="107"/>
  <c r="M11" i="107"/>
  <c r="L11" i="107"/>
  <c r="K11" i="107"/>
  <c r="J11" i="107"/>
  <c r="I11" i="107"/>
  <c r="H11" i="107"/>
  <c r="G11" i="107"/>
  <c r="F11" i="107"/>
  <c r="E11" i="107"/>
  <c r="O9" i="107"/>
  <c r="N9" i="107"/>
  <c r="M9" i="107"/>
  <c r="L9" i="107"/>
  <c r="K9" i="107"/>
  <c r="J9" i="107"/>
  <c r="I9" i="107"/>
  <c r="H9" i="107"/>
  <c r="G9" i="107"/>
  <c r="F9" i="107"/>
  <c r="E9" i="107"/>
  <c r="O7" i="107"/>
  <c r="N7" i="107"/>
  <c r="M7" i="107"/>
  <c r="L7" i="107"/>
  <c r="K7" i="107"/>
  <c r="J7" i="107"/>
  <c r="I7" i="107"/>
  <c r="H7" i="107"/>
  <c r="G7" i="107"/>
  <c r="F7" i="107"/>
  <c r="E7" i="107"/>
  <c r="O5" i="107"/>
  <c r="N5" i="107"/>
  <c r="M5" i="107"/>
  <c r="L5" i="107"/>
  <c r="K5" i="107"/>
  <c r="J5" i="107"/>
  <c r="I5" i="107"/>
  <c r="H5" i="107"/>
  <c r="G5" i="107"/>
  <c r="F5" i="107"/>
  <c r="E5" i="107"/>
  <c r="P28" i="106"/>
  <c r="P22" i="106"/>
  <c r="P20" i="106"/>
  <c r="P6" i="106"/>
  <c r="P8" i="106"/>
  <c r="P10" i="106"/>
  <c r="P12" i="106"/>
  <c r="P14" i="106"/>
  <c r="P16" i="106"/>
  <c r="P18" i="106"/>
  <c r="P24" i="106"/>
  <c r="P26" i="106"/>
  <c r="P30" i="106"/>
  <c r="P32" i="106"/>
  <c r="P34" i="106"/>
  <c r="P36" i="106"/>
  <c r="P38" i="106"/>
  <c r="P40" i="106"/>
  <c r="P42" i="106"/>
  <c r="P44" i="106"/>
  <c r="P46" i="106"/>
  <c r="P48" i="106"/>
  <c r="P50" i="106"/>
  <c r="P52" i="106"/>
  <c r="P4" i="106"/>
  <c r="N21" i="106"/>
  <c r="M21" i="106"/>
  <c r="L21" i="106"/>
  <c r="K21" i="106"/>
  <c r="J21" i="106"/>
  <c r="I21" i="106"/>
  <c r="H21" i="106"/>
  <c r="G21" i="106"/>
  <c r="E21" i="106"/>
  <c r="N23" i="106"/>
  <c r="M23" i="106"/>
  <c r="L23" i="106"/>
  <c r="K23" i="106"/>
  <c r="J23" i="106"/>
  <c r="I23" i="106"/>
  <c r="H23" i="106"/>
  <c r="G23" i="106"/>
  <c r="E23" i="106"/>
  <c r="N29" i="106"/>
  <c r="M29" i="106"/>
  <c r="L29" i="106"/>
  <c r="K29" i="106"/>
  <c r="J29" i="106"/>
  <c r="I29" i="106"/>
  <c r="H29" i="106"/>
  <c r="G29" i="106"/>
  <c r="E29" i="106"/>
  <c r="N53" i="106"/>
  <c r="M53" i="106"/>
  <c r="L53" i="106"/>
  <c r="K53" i="106"/>
  <c r="J53" i="106"/>
  <c r="I53" i="106"/>
  <c r="H53" i="106"/>
  <c r="G53" i="106"/>
  <c r="F53" i="106"/>
  <c r="E53" i="106"/>
  <c r="N51" i="106"/>
  <c r="M51" i="106"/>
  <c r="L51" i="106"/>
  <c r="K51" i="106"/>
  <c r="J51" i="106"/>
  <c r="I51" i="106"/>
  <c r="H51" i="106"/>
  <c r="G51" i="106"/>
  <c r="F51" i="106"/>
  <c r="E51" i="106"/>
  <c r="N49" i="106"/>
  <c r="M49" i="106"/>
  <c r="L49" i="106"/>
  <c r="K49" i="106"/>
  <c r="J49" i="106"/>
  <c r="I49" i="106"/>
  <c r="H49" i="106"/>
  <c r="G49" i="106"/>
  <c r="E49" i="106"/>
  <c r="N47" i="106"/>
  <c r="M47" i="106"/>
  <c r="L47" i="106"/>
  <c r="K47" i="106"/>
  <c r="J47" i="106"/>
  <c r="I47" i="106"/>
  <c r="H47" i="106"/>
  <c r="G47" i="106"/>
  <c r="F47" i="106"/>
  <c r="E47" i="106"/>
  <c r="N45" i="106"/>
  <c r="M45" i="106"/>
  <c r="L45" i="106"/>
  <c r="K45" i="106"/>
  <c r="J45" i="106"/>
  <c r="I45" i="106"/>
  <c r="H45" i="106"/>
  <c r="G45" i="106"/>
  <c r="F45" i="106"/>
  <c r="E45" i="106"/>
  <c r="N43" i="106"/>
  <c r="M43" i="106"/>
  <c r="L43" i="106"/>
  <c r="K43" i="106"/>
  <c r="J43" i="106"/>
  <c r="I43" i="106"/>
  <c r="H43" i="106"/>
  <c r="G43" i="106"/>
  <c r="F43" i="106"/>
  <c r="E43" i="106"/>
  <c r="N41" i="106"/>
  <c r="M41" i="106"/>
  <c r="L41" i="106"/>
  <c r="K41" i="106"/>
  <c r="J41" i="106"/>
  <c r="I41" i="106"/>
  <c r="H41" i="106"/>
  <c r="G41" i="106"/>
  <c r="F41" i="106"/>
  <c r="E41" i="106"/>
  <c r="N39" i="106"/>
  <c r="M39" i="106"/>
  <c r="L39" i="106"/>
  <c r="K39" i="106"/>
  <c r="J39" i="106"/>
  <c r="I39" i="106"/>
  <c r="H39" i="106"/>
  <c r="G39" i="106"/>
  <c r="F39" i="106"/>
  <c r="E39" i="106"/>
  <c r="N37" i="106"/>
  <c r="M37" i="106"/>
  <c r="L37" i="106"/>
  <c r="K37" i="106"/>
  <c r="J37" i="106"/>
  <c r="I37" i="106"/>
  <c r="H37" i="106"/>
  <c r="G37" i="106"/>
  <c r="F37" i="106"/>
  <c r="E37" i="106"/>
  <c r="N35" i="106"/>
  <c r="M35" i="106"/>
  <c r="L35" i="106"/>
  <c r="K35" i="106"/>
  <c r="J35" i="106"/>
  <c r="I35" i="106"/>
  <c r="H35" i="106"/>
  <c r="G35" i="106"/>
  <c r="F35" i="106"/>
  <c r="E35" i="106"/>
  <c r="N33" i="106"/>
  <c r="M33" i="106"/>
  <c r="L33" i="106"/>
  <c r="K33" i="106"/>
  <c r="J33" i="106"/>
  <c r="I33" i="106"/>
  <c r="H33" i="106"/>
  <c r="G33" i="106"/>
  <c r="F33" i="106"/>
  <c r="E33" i="106"/>
  <c r="N31" i="106"/>
  <c r="M31" i="106"/>
  <c r="L31" i="106"/>
  <c r="K31" i="106"/>
  <c r="J31" i="106"/>
  <c r="I31" i="106"/>
  <c r="H31" i="106"/>
  <c r="G31" i="106"/>
  <c r="F31" i="106"/>
  <c r="E31" i="106"/>
  <c r="N27" i="106"/>
  <c r="M27" i="106"/>
  <c r="L27" i="106"/>
  <c r="K27" i="106"/>
  <c r="J27" i="106"/>
  <c r="I27" i="106"/>
  <c r="H27" i="106"/>
  <c r="G27" i="106"/>
  <c r="F27" i="106"/>
  <c r="E27" i="106"/>
  <c r="N25" i="106"/>
  <c r="M25" i="106"/>
  <c r="L25" i="106"/>
  <c r="K25" i="106"/>
  <c r="J25" i="106"/>
  <c r="I25" i="106"/>
  <c r="H25" i="106"/>
  <c r="G25" i="106"/>
  <c r="F25" i="106"/>
  <c r="E25" i="106"/>
  <c r="N19" i="106"/>
  <c r="M19" i="106"/>
  <c r="L19" i="106"/>
  <c r="K19" i="106"/>
  <c r="J19" i="106"/>
  <c r="I19" i="106"/>
  <c r="H19" i="106"/>
  <c r="G19" i="106"/>
  <c r="F19" i="106"/>
  <c r="E19" i="106"/>
  <c r="N17" i="106"/>
  <c r="M17" i="106"/>
  <c r="L17" i="106"/>
  <c r="K17" i="106"/>
  <c r="J17" i="106"/>
  <c r="I17" i="106"/>
  <c r="H17" i="106"/>
  <c r="G17" i="106"/>
  <c r="F17" i="106"/>
  <c r="E17" i="106"/>
  <c r="N15" i="106"/>
  <c r="M15" i="106"/>
  <c r="L15" i="106"/>
  <c r="K15" i="106"/>
  <c r="J15" i="106"/>
  <c r="I15" i="106"/>
  <c r="H15" i="106"/>
  <c r="G15" i="106"/>
  <c r="F15" i="106"/>
  <c r="E15" i="106"/>
  <c r="N13" i="106"/>
  <c r="M13" i="106"/>
  <c r="L13" i="106"/>
  <c r="K13" i="106"/>
  <c r="J13" i="106"/>
  <c r="I13" i="106"/>
  <c r="H13" i="106"/>
  <c r="G13" i="106"/>
  <c r="F13" i="106"/>
  <c r="E13" i="106"/>
  <c r="N11" i="106"/>
  <c r="M11" i="106"/>
  <c r="L11" i="106"/>
  <c r="K11" i="106"/>
  <c r="J11" i="106"/>
  <c r="I11" i="106"/>
  <c r="H11" i="106"/>
  <c r="G11" i="106"/>
  <c r="F11" i="106"/>
  <c r="E11" i="106"/>
  <c r="N9" i="106"/>
  <c r="M9" i="106"/>
  <c r="L9" i="106"/>
  <c r="K9" i="106"/>
  <c r="J9" i="106"/>
  <c r="I9" i="106"/>
  <c r="H9" i="106"/>
  <c r="G9" i="106"/>
  <c r="F9" i="106"/>
  <c r="E9" i="106"/>
  <c r="N7" i="106"/>
  <c r="M7" i="106"/>
  <c r="L7" i="106"/>
  <c r="K7" i="106"/>
  <c r="J7" i="106"/>
  <c r="I7" i="106"/>
  <c r="H7" i="106"/>
  <c r="G7" i="106"/>
  <c r="F7" i="106"/>
  <c r="E7" i="106"/>
  <c r="N5" i="106"/>
  <c r="M5" i="106"/>
  <c r="L5" i="106"/>
  <c r="K5" i="106"/>
  <c r="J5" i="106"/>
  <c r="I5" i="106"/>
  <c r="H5" i="106"/>
  <c r="G5" i="106"/>
  <c r="F5" i="106"/>
  <c r="E5" i="106"/>
  <c r="P18" i="105"/>
  <c r="O21" i="105"/>
  <c r="N21" i="105"/>
  <c r="M21" i="105"/>
  <c r="L21" i="105"/>
  <c r="K21" i="105"/>
  <c r="J21" i="105"/>
  <c r="I21" i="105"/>
  <c r="H21" i="105"/>
  <c r="G21" i="105"/>
  <c r="E21" i="105"/>
  <c r="O57" i="105"/>
  <c r="N57" i="105"/>
  <c r="M57" i="105"/>
  <c r="L57" i="105"/>
  <c r="K57" i="105"/>
  <c r="J57" i="105"/>
  <c r="I57" i="105"/>
  <c r="H57" i="105"/>
  <c r="G57" i="105"/>
  <c r="F57" i="105"/>
  <c r="E57" i="105"/>
  <c r="O55" i="105"/>
  <c r="N55" i="105"/>
  <c r="M55" i="105"/>
  <c r="L55" i="105"/>
  <c r="K55" i="105"/>
  <c r="J55" i="105"/>
  <c r="I55" i="105"/>
  <c r="H55" i="105"/>
  <c r="G55" i="105"/>
  <c r="F55" i="105"/>
  <c r="E55" i="105"/>
  <c r="O53" i="105"/>
  <c r="N53" i="105"/>
  <c r="M53" i="105"/>
  <c r="L53" i="105"/>
  <c r="K53" i="105"/>
  <c r="J53" i="105"/>
  <c r="I53" i="105"/>
  <c r="H53" i="105"/>
  <c r="G53" i="105"/>
  <c r="F53" i="105"/>
  <c r="E53" i="105"/>
  <c r="O51" i="105"/>
  <c r="N51" i="105"/>
  <c r="M51" i="105"/>
  <c r="L51" i="105"/>
  <c r="K51" i="105"/>
  <c r="J51" i="105"/>
  <c r="I51" i="105"/>
  <c r="H51" i="105"/>
  <c r="G51" i="105"/>
  <c r="F51" i="105"/>
  <c r="E51" i="105"/>
  <c r="O49" i="105"/>
  <c r="N49" i="105"/>
  <c r="M49" i="105"/>
  <c r="L49" i="105"/>
  <c r="K49" i="105"/>
  <c r="J49" i="105"/>
  <c r="I49" i="105"/>
  <c r="H49" i="105"/>
  <c r="G49" i="105"/>
  <c r="E49" i="105"/>
  <c r="O47" i="105"/>
  <c r="N47" i="105"/>
  <c r="M47" i="105"/>
  <c r="L47" i="105"/>
  <c r="K47" i="105"/>
  <c r="J47" i="105"/>
  <c r="I47" i="105"/>
  <c r="H47" i="105"/>
  <c r="G47" i="105"/>
  <c r="F47" i="105"/>
  <c r="E47" i="105"/>
  <c r="O45" i="105"/>
  <c r="N45" i="105"/>
  <c r="M45" i="105"/>
  <c r="L45" i="105"/>
  <c r="K45" i="105"/>
  <c r="J45" i="105"/>
  <c r="I45" i="105"/>
  <c r="H45" i="105"/>
  <c r="G45" i="105"/>
  <c r="F45" i="105"/>
  <c r="E45" i="105"/>
  <c r="O43" i="105"/>
  <c r="N43" i="105"/>
  <c r="M43" i="105"/>
  <c r="L43" i="105"/>
  <c r="K43" i="105"/>
  <c r="J43" i="105"/>
  <c r="I43" i="105"/>
  <c r="H43" i="105"/>
  <c r="G43" i="105"/>
  <c r="F43" i="105"/>
  <c r="E43" i="105"/>
  <c r="O41" i="105"/>
  <c r="N41" i="105"/>
  <c r="M41" i="105"/>
  <c r="L41" i="105"/>
  <c r="K41" i="105"/>
  <c r="J41" i="105"/>
  <c r="I41" i="105"/>
  <c r="H41" i="105"/>
  <c r="G41" i="105"/>
  <c r="F41" i="105"/>
  <c r="E41" i="105"/>
  <c r="O39" i="105"/>
  <c r="N39" i="105"/>
  <c r="M39" i="105"/>
  <c r="L39" i="105"/>
  <c r="K39" i="105"/>
  <c r="J39" i="105"/>
  <c r="I39" i="105"/>
  <c r="H39" i="105"/>
  <c r="G39" i="105"/>
  <c r="F39" i="105"/>
  <c r="E39" i="105"/>
  <c r="O37" i="105"/>
  <c r="N37" i="105"/>
  <c r="M37" i="105"/>
  <c r="L37" i="105"/>
  <c r="K37" i="105"/>
  <c r="J37" i="105"/>
  <c r="I37" i="105"/>
  <c r="H37" i="105"/>
  <c r="G37" i="105"/>
  <c r="F37" i="105"/>
  <c r="E37" i="105"/>
  <c r="O35" i="105"/>
  <c r="N35" i="105"/>
  <c r="M35" i="105"/>
  <c r="L35" i="105"/>
  <c r="K35" i="105"/>
  <c r="J35" i="105"/>
  <c r="I35" i="105"/>
  <c r="H35" i="105"/>
  <c r="G35" i="105"/>
  <c r="F35" i="105"/>
  <c r="E35" i="105"/>
  <c r="O33" i="105"/>
  <c r="N33" i="105"/>
  <c r="M33" i="105"/>
  <c r="L33" i="105"/>
  <c r="K33" i="105"/>
  <c r="J33" i="105"/>
  <c r="I33" i="105"/>
  <c r="H33" i="105"/>
  <c r="G33" i="105"/>
  <c r="F33" i="105"/>
  <c r="E33" i="105"/>
  <c r="O31" i="105"/>
  <c r="N31" i="105"/>
  <c r="M31" i="105"/>
  <c r="L31" i="105"/>
  <c r="K31" i="105"/>
  <c r="J31" i="105"/>
  <c r="I31" i="105"/>
  <c r="H31" i="105"/>
  <c r="G31" i="105"/>
  <c r="F31" i="105"/>
  <c r="E31" i="105"/>
  <c r="O29" i="105"/>
  <c r="N29" i="105"/>
  <c r="M29" i="105"/>
  <c r="L29" i="105"/>
  <c r="K29" i="105"/>
  <c r="J29" i="105"/>
  <c r="I29" i="105"/>
  <c r="H29" i="105"/>
  <c r="G29" i="105"/>
  <c r="F29" i="105"/>
  <c r="E29" i="105"/>
  <c r="O27" i="105"/>
  <c r="N27" i="105"/>
  <c r="M27" i="105"/>
  <c r="L27" i="105"/>
  <c r="K27" i="105"/>
  <c r="J27" i="105"/>
  <c r="I27" i="105"/>
  <c r="H27" i="105"/>
  <c r="G27" i="105"/>
  <c r="F27" i="105"/>
  <c r="E27" i="105"/>
  <c r="O25" i="105"/>
  <c r="N25" i="105"/>
  <c r="M25" i="105"/>
  <c r="L25" i="105"/>
  <c r="K25" i="105"/>
  <c r="J25" i="105"/>
  <c r="I25" i="105"/>
  <c r="H25" i="105"/>
  <c r="G25" i="105"/>
  <c r="F25" i="105"/>
  <c r="E25" i="105"/>
  <c r="O23" i="105"/>
  <c r="N23" i="105"/>
  <c r="M23" i="105"/>
  <c r="L23" i="105"/>
  <c r="K23" i="105"/>
  <c r="J23" i="105"/>
  <c r="I23" i="105"/>
  <c r="H23" i="105"/>
  <c r="G23" i="105"/>
  <c r="F23" i="105"/>
  <c r="E23" i="105"/>
  <c r="O19" i="105"/>
  <c r="N19" i="105"/>
  <c r="M19" i="105"/>
  <c r="L19" i="105"/>
  <c r="K19" i="105"/>
  <c r="J19" i="105"/>
  <c r="I19" i="105"/>
  <c r="H19" i="105"/>
  <c r="G19" i="105"/>
  <c r="F19" i="105"/>
  <c r="E19" i="105"/>
  <c r="O17" i="105"/>
  <c r="N17" i="105"/>
  <c r="M17" i="105"/>
  <c r="L17" i="105"/>
  <c r="K17" i="105"/>
  <c r="J17" i="105"/>
  <c r="I17" i="105"/>
  <c r="H17" i="105"/>
  <c r="G17" i="105"/>
  <c r="F17" i="105"/>
  <c r="E17" i="105"/>
  <c r="O15" i="105"/>
  <c r="N15" i="105"/>
  <c r="M15" i="105"/>
  <c r="L15" i="105"/>
  <c r="K15" i="105"/>
  <c r="J15" i="105"/>
  <c r="I15" i="105"/>
  <c r="H15" i="105"/>
  <c r="G15" i="105"/>
  <c r="F15" i="105"/>
  <c r="E15" i="105"/>
  <c r="O13" i="105"/>
  <c r="N13" i="105"/>
  <c r="M13" i="105"/>
  <c r="L13" i="105"/>
  <c r="K13" i="105"/>
  <c r="J13" i="105"/>
  <c r="I13" i="105"/>
  <c r="H13" i="105"/>
  <c r="G13" i="105"/>
  <c r="F13" i="105"/>
  <c r="E13" i="105"/>
  <c r="O11" i="105"/>
  <c r="N11" i="105"/>
  <c r="M11" i="105"/>
  <c r="L11" i="105"/>
  <c r="K11" i="105"/>
  <c r="J11" i="105"/>
  <c r="I11" i="105"/>
  <c r="H11" i="105"/>
  <c r="G11" i="105"/>
  <c r="F11" i="105"/>
  <c r="E11" i="105"/>
  <c r="O9" i="105"/>
  <c r="N9" i="105"/>
  <c r="M9" i="105"/>
  <c r="L9" i="105"/>
  <c r="K9" i="105"/>
  <c r="J9" i="105"/>
  <c r="I9" i="105"/>
  <c r="H9" i="105"/>
  <c r="G9" i="105"/>
  <c r="E9" i="105"/>
  <c r="O7" i="105"/>
  <c r="N7" i="105"/>
  <c r="M7" i="105"/>
  <c r="L7" i="105"/>
  <c r="K7" i="105"/>
  <c r="J7" i="105"/>
  <c r="I7" i="105"/>
  <c r="H7" i="105"/>
  <c r="G7" i="105"/>
  <c r="F7" i="105"/>
  <c r="E7" i="105"/>
  <c r="F5" i="105"/>
  <c r="G5" i="105"/>
  <c r="H5" i="105"/>
  <c r="I5" i="105"/>
  <c r="J5" i="105"/>
  <c r="K5" i="105"/>
  <c r="L5" i="105"/>
  <c r="M5" i="105"/>
  <c r="N5" i="105"/>
  <c r="O5" i="105"/>
  <c r="E5" i="105"/>
  <c r="P6" i="105"/>
  <c r="P8" i="105"/>
  <c r="P10" i="105"/>
  <c r="P12" i="105"/>
  <c r="P14" i="105"/>
  <c r="P16" i="105"/>
  <c r="P20" i="105"/>
  <c r="P22" i="105"/>
  <c r="P24" i="105"/>
  <c r="P26" i="105"/>
  <c r="P28" i="105"/>
  <c r="P30" i="105"/>
  <c r="P32" i="105"/>
  <c r="P34" i="105"/>
  <c r="P36" i="105"/>
  <c r="P38" i="105"/>
  <c r="P40" i="105"/>
  <c r="P42" i="105"/>
  <c r="P44" i="105"/>
  <c r="P46" i="105"/>
  <c r="P48" i="105"/>
  <c r="P50" i="105"/>
  <c r="P52" i="105"/>
  <c r="P54" i="105"/>
  <c r="P56" i="105"/>
  <c r="P4" i="105"/>
  <c r="O24" i="103" l="1"/>
  <c r="O26" i="103"/>
  <c r="O28" i="103"/>
  <c r="O30" i="103"/>
  <c r="O32" i="103"/>
  <c r="O34" i="103"/>
  <c r="O36" i="103"/>
  <c r="O38" i="103"/>
  <c r="O40" i="103"/>
  <c r="O42" i="103"/>
  <c r="O44" i="103"/>
  <c r="O46" i="103"/>
  <c r="O48" i="103"/>
  <c r="O50" i="103"/>
  <c r="O52" i="103"/>
  <c r="O54" i="103"/>
  <c r="O56" i="103"/>
  <c r="O22" i="103"/>
  <c r="O6" i="103"/>
  <c r="O8" i="103"/>
  <c r="O10" i="103"/>
  <c r="O12" i="103"/>
  <c r="O14" i="103"/>
  <c r="O16" i="103"/>
  <c r="O18" i="103"/>
  <c r="O4" i="103"/>
  <c r="O20" i="103"/>
  <c r="N57" i="103"/>
  <c r="M57" i="103"/>
  <c r="L57" i="103"/>
  <c r="K57" i="103"/>
  <c r="J57" i="103"/>
  <c r="I57" i="103"/>
  <c r="H57" i="103"/>
  <c r="G57" i="103"/>
  <c r="F57" i="103"/>
  <c r="E57" i="103"/>
  <c r="N55" i="103"/>
  <c r="M55" i="103"/>
  <c r="L55" i="103"/>
  <c r="K55" i="103"/>
  <c r="J55" i="103"/>
  <c r="I55" i="103"/>
  <c r="H55" i="103"/>
  <c r="G55" i="103"/>
  <c r="F55" i="103"/>
  <c r="E55" i="103"/>
  <c r="N53" i="103"/>
  <c r="M53" i="103"/>
  <c r="L53" i="103"/>
  <c r="K53" i="103"/>
  <c r="J53" i="103"/>
  <c r="I53" i="103"/>
  <c r="H53" i="103"/>
  <c r="G53" i="103"/>
  <c r="F53" i="103"/>
  <c r="E53" i="103"/>
  <c r="N51" i="103"/>
  <c r="M51" i="103"/>
  <c r="L51" i="103"/>
  <c r="K51" i="103"/>
  <c r="J51" i="103"/>
  <c r="I51" i="103"/>
  <c r="H51" i="103"/>
  <c r="G51" i="103"/>
  <c r="F51" i="103"/>
  <c r="E51" i="103"/>
  <c r="N49" i="103"/>
  <c r="M49" i="103"/>
  <c r="L49" i="103"/>
  <c r="K49" i="103"/>
  <c r="J49" i="103"/>
  <c r="I49" i="103"/>
  <c r="H49" i="103"/>
  <c r="G49" i="103"/>
  <c r="F49" i="103"/>
  <c r="E49" i="103"/>
  <c r="N47" i="103"/>
  <c r="M47" i="103"/>
  <c r="L47" i="103"/>
  <c r="K47" i="103"/>
  <c r="J47" i="103"/>
  <c r="I47" i="103"/>
  <c r="H47" i="103"/>
  <c r="G47" i="103"/>
  <c r="F47" i="103"/>
  <c r="E47" i="103"/>
  <c r="N45" i="103"/>
  <c r="M45" i="103"/>
  <c r="L45" i="103"/>
  <c r="K45" i="103"/>
  <c r="J45" i="103"/>
  <c r="I45" i="103"/>
  <c r="H45" i="103"/>
  <c r="G45" i="103"/>
  <c r="F45" i="103"/>
  <c r="E45" i="103"/>
  <c r="N43" i="103"/>
  <c r="M43" i="103"/>
  <c r="L43" i="103"/>
  <c r="K43" i="103"/>
  <c r="J43" i="103"/>
  <c r="I43" i="103"/>
  <c r="H43" i="103"/>
  <c r="G43" i="103"/>
  <c r="F43" i="103"/>
  <c r="E43" i="103"/>
  <c r="N41" i="103"/>
  <c r="M41" i="103"/>
  <c r="L41" i="103"/>
  <c r="K41" i="103"/>
  <c r="J41" i="103"/>
  <c r="I41" i="103"/>
  <c r="H41" i="103"/>
  <c r="G41" i="103"/>
  <c r="F41" i="103"/>
  <c r="E41" i="103"/>
  <c r="N39" i="103"/>
  <c r="M39" i="103"/>
  <c r="L39" i="103"/>
  <c r="K39" i="103"/>
  <c r="J39" i="103"/>
  <c r="I39" i="103"/>
  <c r="H39" i="103"/>
  <c r="G39" i="103"/>
  <c r="F39" i="103"/>
  <c r="E39" i="103"/>
  <c r="N37" i="103"/>
  <c r="M37" i="103"/>
  <c r="L37" i="103"/>
  <c r="K37" i="103"/>
  <c r="J37" i="103"/>
  <c r="I37" i="103"/>
  <c r="H37" i="103"/>
  <c r="G37" i="103"/>
  <c r="F37" i="103"/>
  <c r="E37" i="103"/>
  <c r="N35" i="103"/>
  <c r="M35" i="103"/>
  <c r="L35" i="103"/>
  <c r="K35" i="103"/>
  <c r="J35" i="103"/>
  <c r="I35" i="103"/>
  <c r="H35" i="103"/>
  <c r="G35" i="103"/>
  <c r="F35" i="103"/>
  <c r="E35" i="103"/>
  <c r="N33" i="103"/>
  <c r="M33" i="103"/>
  <c r="L33" i="103"/>
  <c r="K33" i="103"/>
  <c r="J33" i="103"/>
  <c r="I33" i="103"/>
  <c r="H33" i="103"/>
  <c r="G33" i="103"/>
  <c r="F33" i="103"/>
  <c r="E33" i="103"/>
  <c r="N31" i="103"/>
  <c r="M31" i="103"/>
  <c r="L31" i="103"/>
  <c r="K31" i="103"/>
  <c r="J31" i="103"/>
  <c r="I31" i="103"/>
  <c r="H31" i="103"/>
  <c r="G31" i="103"/>
  <c r="F31" i="103"/>
  <c r="E31" i="103"/>
  <c r="N29" i="103"/>
  <c r="M29" i="103"/>
  <c r="L29" i="103"/>
  <c r="K29" i="103"/>
  <c r="J29" i="103"/>
  <c r="I29" i="103"/>
  <c r="H29" i="103"/>
  <c r="G29" i="103"/>
  <c r="F29" i="103"/>
  <c r="E29" i="103"/>
  <c r="N27" i="103"/>
  <c r="M27" i="103"/>
  <c r="L27" i="103"/>
  <c r="K27" i="103"/>
  <c r="J27" i="103"/>
  <c r="I27" i="103"/>
  <c r="H27" i="103"/>
  <c r="G27" i="103"/>
  <c r="F27" i="103"/>
  <c r="E27" i="103"/>
  <c r="N25" i="103"/>
  <c r="M25" i="103"/>
  <c r="L25" i="103"/>
  <c r="K25" i="103"/>
  <c r="J25" i="103"/>
  <c r="I25" i="103"/>
  <c r="H25" i="103"/>
  <c r="G25" i="103"/>
  <c r="F25" i="103"/>
  <c r="E25" i="103"/>
  <c r="N23" i="103"/>
  <c r="M23" i="103"/>
  <c r="L23" i="103"/>
  <c r="K23" i="103"/>
  <c r="J23" i="103"/>
  <c r="I23" i="103"/>
  <c r="H23" i="103"/>
  <c r="G23" i="103"/>
  <c r="F23" i="103"/>
  <c r="E23" i="103"/>
  <c r="N21" i="103"/>
  <c r="M21" i="103"/>
  <c r="L21" i="103"/>
  <c r="K21" i="103"/>
  <c r="J21" i="103"/>
  <c r="I21" i="103"/>
  <c r="H21" i="103"/>
  <c r="G21" i="103"/>
  <c r="E21" i="103"/>
  <c r="N19" i="103"/>
  <c r="M19" i="103"/>
  <c r="L19" i="103"/>
  <c r="K19" i="103"/>
  <c r="J19" i="103"/>
  <c r="I19" i="103"/>
  <c r="H19" i="103"/>
  <c r="G19" i="103"/>
  <c r="F19" i="103"/>
  <c r="E19" i="103"/>
  <c r="N17" i="103"/>
  <c r="M17" i="103"/>
  <c r="L17" i="103"/>
  <c r="K17" i="103"/>
  <c r="J17" i="103"/>
  <c r="I17" i="103"/>
  <c r="H17" i="103"/>
  <c r="G17" i="103"/>
  <c r="F17" i="103"/>
  <c r="E17" i="103"/>
  <c r="N15" i="103"/>
  <c r="M15" i="103"/>
  <c r="L15" i="103"/>
  <c r="K15" i="103"/>
  <c r="J15" i="103"/>
  <c r="I15" i="103"/>
  <c r="H15" i="103"/>
  <c r="G15" i="103"/>
  <c r="F15" i="103"/>
  <c r="E15" i="103"/>
  <c r="N13" i="103"/>
  <c r="M13" i="103"/>
  <c r="L13" i="103"/>
  <c r="K13" i="103"/>
  <c r="J13" i="103"/>
  <c r="I13" i="103"/>
  <c r="H13" i="103"/>
  <c r="G13" i="103"/>
  <c r="F13" i="103"/>
  <c r="E13" i="103"/>
  <c r="N11" i="103"/>
  <c r="M11" i="103"/>
  <c r="L11" i="103"/>
  <c r="K11" i="103"/>
  <c r="J11" i="103"/>
  <c r="I11" i="103"/>
  <c r="H11" i="103"/>
  <c r="G11" i="103"/>
  <c r="F11" i="103"/>
  <c r="E11" i="103"/>
  <c r="N9" i="103"/>
  <c r="M9" i="103"/>
  <c r="L9" i="103"/>
  <c r="K9" i="103"/>
  <c r="J9" i="103"/>
  <c r="I9" i="103"/>
  <c r="H9" i="103"/>
  <c r="G9" i="103"/>
  <c r="F9" i="103"/>
  <c r="E9" i="103"/>
  <c r="N7" i="103"/>
  <c r="M7" i="103"/>
  <c r="L7" i="103"/>
  <c r="K7" i="103"/>
  <c r="J7" i="103"/>
  <c r="I7" i="103"/>
  <c r="H7" i="103"/>
  <c r="G7" i="103"/>
  <c r="F7" i="103"/>
  <c r="E7" i="103"/>
  <c r="N5" i="103"/>
  <c r="M5" i="103"/>
  <c r="L5" i="103"/>
  <c r="K5" i="103"/>
  <c r="J5" i="103"/>
  <c r="I5" i="103"/>
  <c r="H5" i="103"/>
  <c r="G5" i="103"/>
  <c r="F5" i="103"/>
  <c r="E5" i="103"/>
  <c r="O16" i="102"/>
  <c r="O52" i="102"/>
  <c r="O6" i="102"/>
  <c r="O8" i="102"/>
  <c r="O10" i="102"/>
  <c r="O12" i="102"/>
  <c r="O14" i="102"/>
  <c r="O18" i="102"/>
  <c r="O20" i="102"/>
  <c r="O22" i="102"/>
  <c r="O24" i="102"/>
  <c r="O26" i="102"/>
  <c r="O28" i="102"/>
  <c r="O30" i="102"/>
  <c r="O32" i="102"/>
  <c r="O34" i="102"/>
  <c r="O36" i="102"/>
  <c r="O38" i="102"/>
  <c r="O40" i="102"/>
  <c r="O42" i="102"/>
  <c r="O44" i="102"/>
  <c r="O46" i="102"/>
  <c r="O48" i="102"/>
  <c r="O50" i="102"/>
  <c r="O4" i="102"/>
  <c r="N53" i="102"/>
  <c r="M53" i="102"/>
  <c r="L53" i="102"/>
  <c r="K53" i="102"/>
  <c r="J53" i="102"/>
  <c r="I53" i="102"/>
  <c r="H53" i="102"/>
  <c r="G53" i="102"/>
  <c r="F53" i="102"/>
  <c r="E53" i="102"/>
  <c r="N51" i="102"/>
  <c r="M51" i="102"/>
  <c r="L51" i="102"/>
  <c r="K51" i="102"/>
  <c r="J51" i="102"/>
  <c r="I51" i="102"/>
  <c r="H51" i="102"/>
  <c r="G51" i="102"/>
  <c r="F51" i="102"/>
  <c r="E51" i="102"/>
  <c r="N49" i="102"/>
  <c r="M49" i="102"/>
  <c r="L49" i="102"/>
  <c r="K49" i="102"/>
  <c r="J49" i="102"/>
  <c r="I49" i="102"/>
  <c r="H49" i="102"/>
  <c r="G49" i="102"/>
  <c r="F49" i="102"/>
  <c r="E49" i="102"/>
  <c r="N47" i="102"/>
  <c r="M47" i="102"/>
  <c r="L47" i="102"/>
  <c r="K47" i="102"/>
  <c r="J47" i="102"/>
  <c r="I47" i="102"/>
  <c r="H47" i="102"/>
  <c r="G47" i="102"/>
  <c r="F47" i="102"/>
  <c r="E47" i="102"/>
  <c r="N45" i="102"/>
  <c r="M45" i="102"/>
  <c r="L45" i="102"/>
  <c r="K45" i="102"/>
  <c r="J45" i="102"/>
  <c r="I45" i="102"/>
  <c r="H45" i="102"/>
  <c r="G45" i="102"/>
  <c r="F45" i="102"/>
  <c r="E45" i="102"/>
  <c r="N43" i="102"/>
  <c r="M43" i="102"/>
  <c r="L43" i="102"/>
  <c r="K43" i="102"/>
  <c r="J43" i="102"/>
  <c r="I43" i="102"/>
  <c r="H43" i="102"/>
  <c r="G43" i="102"/>
  <c r="F43" i="102"/>
  <c r="E43" i="102"/>
  <c r="N41" i="102"/>
  <c r="M41" i="102"/>
  <c r="L41" i="102"/>
  <c r="K41" i="102"/>
  <c r="J41" i="102"/>
  <c r="I41" i="102"/>
  <c r="H41" i="102"/>
  <c r="G41" i="102"/>
  <c r="F41" i="102"/>
  <c r="E41" i="102"/>
  <c r="N39" i="102"/>
  <c r="M39" i="102"/>
  <c r="L39" i="102"/>
  <c r="K39" i="102"/>
  <c r="J39" i="102"/>
  <c r="I39" i="102"/>
  <c r="H39" i="102"/>
  <c r="G39" i="102"/>
  <c r="F39" i="102"/>
  <c r="E39" i="102"/>
  <c r="N37" i="102"/>
  <c r="M37" i="102"/>
  <c r="L37" i="102"/>
  <c r="K37" i="102"/>
  <c r="J37" i="102"/>
  <c r="I37" i="102"/>
  <c r="H37" i="102"/>
  <c r="G37" i="102"/>
  <c r="F37" i="102"/>
  <c r="E37" i="102"/>
  <c r="N35" i="102"/>
  <c r="M35" i="102"/>
  <c r="L35" i="102"/>
  <c r="K35" i="102"/>
  <c r="J35" i="102"/>
  <c r="I35" i="102"/>
  <c r="H35" i="102"/>
  <c r="G35" i="102"/>
  <c r="F35" i="102"/>
  <c r="E35" i="102"/>
  <c r="N33" i="102"/>
  <c r="M33" i="102"/>
  <c r="L33" i="102"/>
  <c r="K33" i="102"/>
  <c r="J33" i="102"/>
  <c r="I33" i="102"/>
  <c r="H33" i="102"/>
  <c r="G33" i="102"/>
  <c r="F33" i="102"/>
  <c r="E33" i="102"/>
  <c r="N31" i="102"/>
  <c r="M31" i="102"/>
  <c r="L31" i="102"/>
  <c r="K31" i="102"/>
  <c r="J31" i="102"/>
  <c r="I31" i="102"/>
  <c r="H31" i="102"/>
  <c r="G31" i="102"/>
  <c r="F31" i="102"/>
  <c r="E31" i="102"/>
  <c r="N29" i="102"/>
  <c r="M29" i="102"/>
  <c r="L29" i="102"/>
  <c r="K29" i="102"/>
  <c r="J29" i="102"/>
  <c r="I29" i="102"/>
  <c r="H29" i="102"/>
  <c r="G29" i="102"/>
  <c r="F29" i="102"/>
  <c r="E29" i="102"/>
  <c r="N27" i="102"/>
  <c r="M27" i="102"/>
  <c r="L27" i="102"/>
  <c r="K27" i="102"/>
  <c r="J27" i="102"/>
  <c r="I27" i="102"/>
  <c r="H27" i="102"/>
  <c r="G27" i="102"/>
  <c r="F27" i="102"/>
  <c r="E27" i="102"/>
  <c r="N25" i="102"/>
  <c r="M25" i="102"/>
  <c r="L25" i="102"/>
  <c r="K25" i="102"/>
  <c r="J25" i="102"/>
  <c r="I25" i="102"/>
  <c r="H25" i="102"/>
  <c r="G25" i="102"/>
  <c r="F25" i="102"/>
  <c r="E25" i="102"/>
  <c r="N23" i="102"/>
  <c r="M23" i="102"/>
  <c r="L23" i="102"/>
  <c r="K23" i="102"/>
  <c r="J23" i="102"/>
  <c r="I23" i="102"/>
  <c r="H23" i="102"/>
  <c r="G23" i="102"/>
  <c r="F23" i="102"/>
  <c r="E23" i="102"/>
  <c r="N21" i="102"/>
  <c r="M21" i="102"/>
  <c r="L21" i="102"/>
  <c r="K21" i="102"/>
  <c r="J21" i="102"/>
  <c r="I21" i="102"/>
  <c r="H21" i="102"/>
  <c r="G21" i="102"/>
  <c r="F21" i="102"/>
  <c r="E21" i="102"/>
  <c r="N19" i="102"/>
  <c r="M19" i="102"/>
  <c r="L19" i="102"/>
  <c r="K19" i="102"/>
  <c r="J19" i="102"/>
  <c r="I19" i="102"/>
  <c r="H19" i="102"/>
  <c r="G19" i="102"/>
  <c r="F19" i="102"/>
  <c r="E19" i="102"/>
  <c r="N17" i="102"/>
  <c r="M17" i="102"/>
  <c r="L17" i="102"/>
  <c r="K17" i="102"/>
  <c r="J17" i="102"/>
  <c r="I17" i="102"/>
  <c r="H17" i="102"/>
  <c r="G17" i="102"/>
  <c r="E17" i="102"/>
  <c r="N15" i="102"/>
  <c r="M15" i="102"/>
  <c r="L15" i="102"/>
  <c r="K15" i="102"/>
  <c r="J15" i="102"/>
  <c r="I15" i="102"/>
  <c r="H15" i="102"/>
  <c r="G15" i="102"/>
  <c r="F15" i="102"/>
  <c r="E15" i="102"/>
  <c r="N13" i="102"/>
  <c r="M13" i="102"/>
  <c r="L13" i="102"/>
  <c r="K13" i="102"/>
  <c r="J13" i="102"/>
  <c r="I13" i="102"/>
  <c r="H13" i="102"/>
  <c r="G13" i="102"/>
  <c r="F13" i="102"/>
  <c r="E13" i="102"/>
  <c r="N11" i="102"/>
  <c r="M11" i="102"/>
  <c r="L11" i="102"/>
  <c r="K11" i="102"/>
  <c r="J11" i="102"/>
  <c r="I11" i="102"/>
  <c r="H11" i="102"/>
  <c r="G11" i="102"/>
  <c r="F11" i="102"/>
  <c r="E11" i="102"/>
  <c r="N9" i="102"/>
  <c r="M9" i="102"/>
  <c r="L9" i="102"/>
  <c r="K9" i="102"/>
  <c r="J9" i="102"/>
  <c r="I9" i="102"/>
  <c r="H9" i="102"/>
  <c r="G9" i="102"/>
  <c r="F9" i="102"/>
  <c r="E9" i="102"/>
  <c r="N7" i="102"/>
  <c r="M7" i="102"/>
  <c r="L7" i="102"/>
  <c r="K7" i="102"/>
  <c r="J7" i="102"/>
  <c r="I7" i="102"/>
  <c r="H7" i="102"/>
  <c r="G7" i="102"/>
  <c r="F7" i="102"/>
  <c r="E7" i="102"/>
  <c r="N5" i="102"/>
  <c r="M5" i="102"/>
  <c r="L5" i="102"/>
  <c r="K5" i="102"/>
  <c r="J5" i="102"/>
  <c r="I5" i="102"/>
  <c r="H5" i="102"/>
  <c r="G5" i="102"/>
  <c r="F5" i="102"/>
  <c r="E5" i="102"/>
  <c r="N57" i="100" l="1"/>
  <c r="M57" i="100"/>
  <c r="L57" i="100"/>
  <c r="K57" i="100"/>
  <c r="J57" i="100"/>
  <c r="I57" i="100"/>
  <c r="H57" i="100"/>
  <c r="G57" i="100"/>
  <c r="F57" i="100"/>
  <c r="E57" i="100"/>
  <c r="N55" i="100"/>
  <c r="M55" i="100"/>
  <c r="L55" i="100"/>
  <c r="K55" i="100"/>
  <c r="J55" i="100"/>
  <c r="I55" i="100"/>
  <c r="H55" i="100"/>
  <c r="G55" i="100"/>
  <c r="F55" i="100"/>
  <c r="E55" i="100"/>
  <c r="N53" i="100"/>
  <c r="M53" i="100"/>
  <c r="L53" i="100"/>
  <c r="K53" i="100"/>
  <c r="J53" i="100"/>
  <c r="I53" i="100"/>
  <c r="H53" i="100"/>
  <c r="G53" i="100"/>
  <c r="F53" i="100"/>
  <c r="E53" i="100"/>
  <c r="N51" i="100"/>
  <c r="M51" i="100"/>
  <c r="L51" i="100"/>
  <c r="K51" i="100"/>
  <c r="J51" i="100"/>
  <c r="I51" i="100"/>
  <c r="H51" i="100"/>
  <c r="G51" i="100"/>
  <c r="F51" i="100"/>
  <c r="E51" i="100"/>
  <c r="N49" i="100"/>
  <c r="M49" i="100"/>
  <c r="L49" i="100"/>
  <c r="K49" i="100"/>
  <c r="J49" i="100"/>
  <c r="I49" i="100"/>
  <c r="H49" i="100"/>
  <c r="G49" i="100"/>
  <c r="F49" i="100"/>
  <c r="E49" i="100"/>
  <c r="N47" i="100"/>
  <c r="M47" i="100"/>
  <c r="L47" i="100"/>
  <c r="K47" i="100"/>
  <c r="J47" i="100"/>
  <c r="I47" i="100"/>
  <c r="H47" i="100"/>
  <c r="G47" i="100"/>
  <c r="F47" i="100"/>
  <c r="E47" i="100"/>
  <c r="N45" i="100"/>
  <c r="M45" i="100"/>
  <c r="L45" i="100"/>
  <c r="K45" i="100"/>
  <c r="J45" i="100"/>
  <c r="I45" i="100"/>
  <c r="H45" i="100"/>
  <c r="G45" i="100"/>
  <c r="F45" i="100"/>
  <c r="E45" i="100"/>
  <c r="N43" i="100"/>
  <c r="M43" i="100"/>
  <c r="L43" i="100"/>
  <c r="K43" i="100"/>
  <c r="J43" i="100"/>
  <c r="I43" i="100"/>
  <c r="H43" i="100"/>
  <c r="G43" i="100"/>
  <c r="F43" i="100"/>
  <c r="E43" i="100"/>
  <c r="N41" i="100"/>
  <c r="M41" i="100"/>
  <c r="L41" i="100"/>
  <c r="K41" i="100"/>
  <c r="J41" i="100"/>
  <c r="I41" i="100"/>
  <c r="H41" i="100"/>
  <c r="G41" i="100"/>
  <c r="F41" i="100"/>
  <c r="E41" i="100"/>
  <c r="N39" i="100"/>
  <c r="M39" i="100"/>
  <c r="L39" i="100"/>
  <c r="K39" i="100"/>
  <c r="J39" i="100"/>
  <c r="I39" i="100"/>
  <c r="H39" i="100"/>
  <c r="G39" i="100"/>
  <c r="F39" i="100"/>
  <c r="E39" i="100"/>
  <c r="N37" i="100"/>
  <c r="M37" i="100"/>
  <c r="L37" i="100"/>
  <c r="K37" i="100"/>
  <c r="J37" i="100"/>
  <c r="I37" i="100"/>
  <c r="H37" i="100"/>
  <c r="G37" i="100"/>
  <c r="F37" i="100"/>
  <c r="E37" i="100"/>
  <c r="N35" i="100"/>
  <c r="M35" i="100"/>
  <c r="L35" i="100"/>
  <c r="K35" i="100"/>
  <c r="J35" i="100"/>
  <c r="I35" i="100"/>
  <c r="H35" i="100"/>
  <c r="G35" i="100"/>
  <c r="F35" i="100"/>
  <c r="E35" i="100"/>
  <c r="N33" i="100"/>
  <c r="M33" i="100"/>
  <c r="L33" i="100"/>
  <c r="K33" i="100"/>
  <c r="J33" i="100"/>
  <c r="I33" i="100"/>
  <c r="H33" i="100"/>
  <c r="G33" i="100"/>
  <c r="F33" i="100"/>
  <c r="E33" i="100"/>
  <c r="N31" i="100"/>
  <c r="M31" i="100"/>
  <c r="L31" i="100"/>
  <c r="K31" i="100"/>
  <c r="J31" i="100"/>
  <c r="I31" i="100"/>
  <c r="H31" i="100"/>
  <c r="G31" i="100"/>
  <c r="F31" i="100"/>
  <c r="E31" i="100"/>
  <c r="N29" i="100"/>
  <c r="M29" i="100"/>
  <c r="L29" i="100"/>
  <c r="K29" i="100"/>
  <c r="J29" i="100"/>
  <c r="I29" i="100"/>
  <c r="H29" i="100"/>
  <c r="G29" i="100"/>
  <c r="F29" i="100"/>
  <c r="E29" i="100"/>
  <c r="N27" i="100"/>
  <c r="M27" i="100"/>
  <c r="L27" i="100"/>
  <c r="K27" i="100"/>
  <c r="J27" i="100"/>
  <c r="I27" i="100"/>
  <c r="H27" i="100"/>
  <c r="G27" i="100"/>
  <c r="F27" i="100"/>
  <c r="E27" i="100"/>
  <c r="N25" i="100"/>
  <c r="M25" i="100"/>
  <c r="L25" i="100"/>
  <c r="K25" i="100"/>
  <c r="J25" i="100"/>
  <c r="I25" i="100"/>
  <c r="H25" i="100"/>
  <c r="G25" i="100"/>
  <c r="F25" i="100"/>
  <c r="E25" i="100"/>
  <c r="N23" i="100"/>
  <c r="M23" i="100"/>
  <c r="L23" i="100"/>
  <c r="K23" i="100"/>
  <c r="J23" i="100"/>
  <c r="I23" i="100"/>
  <c r="H23" i="100"/>
  <c r="G23" i="100"/>
  <c r="F23" i="100"/>
  <c r="E23" i="100"/>
  <c r="N21" i="100"/>
  <c r="M21" i="100"/>
  <c r="L21" i="100"/>
  <c r="K21" i="100"/>
  <c r="J21" i="100"/>
  <c r="I21" i="100"/>
  <c r="H21" i="100"/>
  <c r="G21" i="100"/>
  <c r="F21" i="100"/>
  <c r="E21" i="100"/>
  <c r="N19" i="100"/>
  <c r="M19" i="100"/>
  <c r="L19" i="100"/>
  <c r="K19" i="100"/>
  <c r="J19" i="100"/>
  <c r="I19" i="100"/>
  <c r="H19" i="100"/>
  <c r="G19" i="100"/>
  <c r="F19" i="100"/>
  <c r="E19" i="100"/>
  <c r="N17" i="100"/>
  <c r="M17" i="100"/>
  <c r="L17" i="100"/>
  <c r="K17" i="100"/>
  <c r="J17" i="100"/>
  <c r="I17" i="100"/>
  <c r="H17" i="100"/>
  <c r="G17" i="100"/>
  <c r="F17" i="100"/>
  <c r="E17" i="100"/>
  <c r="N15" i="100"/>
  <c r="M15" i="100"/>
  <c r="L15" i="100"/>
  <c r="K15" i="100"/>
  <c r="J15" i="100"/>
  <c r="I15" i="100"/>
  <c r="H15" i="100"/>
  <c r="G15" i="100"/>
  <c r="F15" i="100"/>
  <c r="E15" i="100"/>
  <c r="N13" i="100"/>
  <c r="M13" i="100"/>
  <c r="L13" i="100"/>
  <c r="K13" i="100"/>
  <c r="J13" i="100"/>
  <c r="I13" i="100"/>
  <c r="H13" i="100"/>
  <c r="G13" i="100"/>
  <c r="F13" i="100"/>
  <c r="E13" i="100"/>
  <c r="N11" i="100"/>
  <c r="M11" i="100"/>
  <c r="L11" i="100"/>
  <c r="K11" i="100"/>
  <c r="J11" i="100"/>
  <c r="I11" i="100"/>
  <c r="H11" i="100"/>
  <c r="G11" i="100"/>
  <c r="F11" i="100"/>
  <c r="E11" i="100"/>
  <c r="N9" i="100"/>
  <c r="M9" i="100"/>
  <c r="L9" i="100"/>
  <c r="K9" i="100"/>
  <c r="J9" i="100"/>
  <c r="I9" i="100"/>
  <c r="H9" i="100"/>
  <c r="G9" i="100"/>
  <c r="F9" i="100"/>
  <c r="E9" i="100"/>
  <c r="N7" i="100"/>
  <c r="M7" i="100"/>
  <c r="L7" i="100"/>
  <c r="K7" i="100"/>
  <c r="J7" i="100"/>
  <c r="I7" i="100"/>
  <c r="H7" i="100"/>
  <c r="G7" i="100"/>
  <c r="F7" i="100"/>
  <c r="E7" i="100"/>
  <c r="N5" i="100"/>
  <c r="M5" i="100"/>
  <c r="L5" i="100"/>
  <c r="K5" i="100"/>
  <c r="J5" i="100"/>
  <c r="I5" i="100"/>
  <c r="H5" i="100"/>
  <c r="G5" i="100"/>
  <c r="F5" i="100"/>
  <c r="E5" i="100"/>
  <c r="F7" i="1"/>
  <c r="N57" i="1" l="1"/>
  <c r="M57" i="1"/>
  <c r="L57" i="1"/>
  <c r="K57" i="1"/>
  <c r="J57" i="1"/>
  <c r="I57" i="1"/>
  <c r="H57" i="1"/>
  <c r="G57" i="1"/>
  <c r="F57" i="1"/>
  <c r="E57" i="1"/>
  <c r="N55" i="1"/>
  <c r="M55" i="1"/>
  <c r="L55" i="1"/>
  <c r="K55" i="1"/>
  <c r="J55" i="1"/>
  <c r="I55" i="1"/>
  <c r="H55" i="1"/>
  <c r="G55" i="1"/>
  <c r="F55" i="1"/>
  <c r="E55" i="1"/>
  <c r="N53" i="1"/>
  <c r="M53" i="1"/>
  <c r="L53" i="1"/>
  <c r="K53" i="1"/>
  <c r="J53" i="1"/>
  <c r="I53" i="1"/>
  <c r="H53" i="1"/>
  <c r="G53" i="1"/>
  <c r="F53" i="1"/>
  <c r="E53" i="1"/>
  <c r="N51" i="1"/>
  <c r="M51" i="1"/>
  <c r="L51" i="1"/>
  <c r="K51" i="1"/>
  <c r="J51" i="1"/>
  <c r="I51" i="1"/>
  <c r="H51" i="1"/>
  <c r="G51" i="1"/>
  <c r="F51" i="1"/>
  <c r="E51" i="1"/>
  <c r="N49" i="1"/>
  <c r="M49" i="1"/>
  <c r="L49" i="1"/>
  <c r="K49" i="1"/>
  <c r="J49" i="1"/>
  <c r="I49" i="1"/>
  <c r="H49" i="1"/>
  <c r="G49" i="1"/>
  <c r="F49" i="1"/>
  <c r="E49" i="1"/>
  <c r="N47" i="1"/>
  <c r="M47" i="1"/>
  <c r="L47" i="1"/>
  <c r="K47" i="1"/>
  <c r="J47" i="1"/>
  <c r="I47" i="1"/>
  <c r="H47" i="1"/>
  <c r="G47" i="1"/>
  <c r="F47" i="1"/>
  <c r="E47" i="1"/>
  <c r="N45" i="1"/>
  <c r="M45" i="1"/>
  <c r="L45" i="1"/>
  <c r="K45" i="1"/>
  <c r="J45" i="1"/>
  <c r="I45" i="1"/>
  <c r="H45" i="1"/>
  <c r="G45" i="1"/>
  <c r="F45" i="1"/>
  <c r="E45" i="1"/>
  <c r="N43" i="1"/>
  <c r="M43" i="1"/>
  <c r="L43" i="1"/>
  <c r="K43" i="1"/>
  <c r="J43" i="1"/>
  <c r="I43" i="1"/>
  <c r="H43" i="1"/>
  <c r="G43" i="1"/>
  <c r="F43" i="1"/>
  <c r="E43" i="1"/>
  <c r="N41" i="1"/>
  <c r="M41" i="1"/>
  <c r="L41" i="1"/>
  <c r="K41" i="1"/>
  <c r="J41" i="1"/>
  <c r="I41" i="1"/>
  <c r="H41" i="1"/>
  <c r="G41" i="1"/>
  <c r="F41" i="1"/>
  <c r="E41" i="1"/>
  <c r="N39" i="1"/>
  <c r="M39" i="1"/>
  <c r="L39" i="1"/>
  <c r="K39" i="1"/>
  <c r="J39" i="1"/>
  <c r="I39" i="1"/>
  <c r="H39" i="1"/>
  <c r="G39" i="1"/>
  <c r="F39" i="1"/>
  <c r="E39" i="1"/>
  <c r="N37" i="1"/>
  <c r="M37" i="1"/>
  <c r="L37" i="1"/>
  <c r="K37" i="1"/>
  <c r="J37" i="1"/>
  <c r="I37" i="1"/>
  <c r="H37" i="1"/>
  <c r="G37" i="1"/>
  <c r="F37" i="1"/>
  <c r="E37" i="1"/>
  <c r="N35" i="1"/>
  <c r="M35" i="1"/>
  <c r="L35" i="1"/>
  <c r="K35" i="1"/>
  <c r="J35" i="1"/>
  <c r="I35" i="1"/>
  <c r="H35" i="1"/>
  <c r="G35" i="1"/>
  <c r="F35" i="1"/>
  <c r="E35" i="1"/>
  <c r="N33" i="1"/>
  <c r="M33" i="1"/>
  <c r="L33" i="1"/>
  <c r="K33" i="1"/>
  <c r="J33" i="1"/>
  <c r="I33" i="1"/>
  <c r="H33" i="1"/>
  <c r="G33" i="1"/>
  <c r="F33" i="1"/>
  <c r="E33" i="1"/>
  <c r="N31" i="1"/>
  <c r="M31" i="1"/>
  <c r="L31" i="1"/>
  <c r="K31" i="1"/>
  <c r="J31" i="1"/>
  <c r="I31" i="1"/>
  <c r="H31" i="1"/>
  <c r="G31" i="1"/>
  <c r="F31" i="1"/>
  <c r="E31" i="1"/>
  <c r="N29" i="1"/>
  <c r="M29" i="1"/>
  <c r="L29" i="1"/>
  <c r="K29" i="1"/>
  <c r="J29" i="1"/>
  <c r="I29" i="1"/>
  <c r="H29" i="1"/>
  <c r="G29" i="1"/>
  <c r="F29" i="1"/>
  <c r="E29" i="1"/>
  <c r="N27" i="1"/>
  <c r="M27" i="1"/>
  <c r="L27" i="1"/>
  <c r="K27" i="1"/>
  <c r="J27" i="1"/>
  <c r="I27" i="1"/>
  <c r="H27" i="1"/>
  <c r="G27" i="1"/>
  <c r="F27" i="1"/>
  <c r="E27" i="1"/>
  <c r="N25" i="1"/>
  <c r="M25" i="1"/>
  <c r="L25" i="1"/>
  <c r="K25" i="1"/>
  <c r="J25" i="1"/>
  <c r="I25" i="1"/>
  <c r="H25" i="1"/>
  <c r="G25" i="1"/>
  <c r="F25" i="1"/>
  <c r="E25" i="1"/>
  <c r="N23" i="1"/>
  <c r="M23" i="1"/>
  <c r="L23" i="1"/>
  <c r="K23" i="1"/>
  <c r="J23" i="1"/>
  <c r="I23" i="1"/>
  <c r="H23" i="1"/>
  <c r="G23" i="1"/>
  <c r="F23" i="1"/>
  <c r="E23" i="1"/>
  <c r="N21" i="1"/>
  <c r="M21" i="1"/>
  <c r="L21" i="1"/>
  <c r="K21" i="1"/>
  <c r="J21" i="1"/>
  <c r="I21" i="1"/>
  <c r="H21" i="1"/>
  <c r="G21" i="1"/>
  <c r="F21" i="1"/>
  <c r="E21" i="1"/>
  <c r="N19" i="1"/>
  <c r="M19" i="1"/>
  <c r="L19" i="1"/>
  <c r="K19" i="1"/>
  <c r="J19" i="1"/>
  <c r="I19" i="1"/>
  <c r="H19" i="1"/>
  <c r="G19" i="1"/>
  <c r="F19" i="1"/>
  <c r="E19" i="1"/>
  <c r="N17" i="1"/>
  <c r="M17" i="1"/>
  <c r="L17" i="1"/>
  <c r="K17" i="1"/>
  <c r="J17" i="1"/>
  <c r="I17" i="1"/>
  <c r="H17" i="1"/>
  <c r="G17" i="1"/>
  <c r="F17" i="1"/>
  <c r="E17" i="1"/>
  <c r="N15" i="1"/>
  <c r="M15" i="1"/>
  <c r="L15" i="1"/>
  <c r="K15" i="1"/>
  <c r="J15" i="1"/>
  <c r="I15" i="1"/>
  <c r="H15" i="1"/>
  <c r="G15" i="1"/>
  <c r="F15" i="1"/>
  <c r="E15" i="1"/>
  <c r="N13" i="1"/>
  <c r="M13" i="1"/>
  <c r="L13" i="1"/>
  <c r="K13" i="1"/>
  <c r="J13" i="1"/>
  <c r="I13" i="1"/>
  <c r="H13" i="1"/>
  <c r="G13" i="1"/>
  <c r="F13" i="1"/>
  <c r="E13" i="1"/>
  <c r="N11" i="1"/>
  <c r="M11" i="1"/>
  <c r="L11" i="1"/>
  <c r="K11" i="1"/>
  <c r="J11" i="1"/>
  <c r="I11" i="1"/>
  <c r="H11" i="1"/>
  <c r="G11" i="1"/>
  <c r="F11" i="1"/>
  <c r="E11" i="1"/>
  <c r="N9" i="1"/>
  <c r="M9" i="1"/>
  <c r="L9" i="1"/>
  <c r="K9" i="1"/>
  <c r="J9" i="1"/>
  <c r="I9" i="1"/>
  <c r="H9" i="1"/>
  <c r="G9" i="1"/>
  <c r="F9" i="1"/>
  <c r="E9" i="1"/>
  <c r="N7" i="1"/>
  <c r="M7" i="1"/>
  <c r="L7" i="1"/>
  <c r="K7" i="1"/>
  <c r="J7" i="1"/>
  <c r="I7" i="1"/>
  <c r="H7" i="1"/>
  <c r="G7" i="1"/>
  <c r="E7" i="1"/>
  <c r="F5" i="1"/>
  <c r="G5" i="1"/>
  <c r="H5" i="1"/>
  <c r="I5" i="1"/>
  <c r="J5" i="1"/>
  <c r="K5" i="1"/>
  <c r="L5" i="1"/>
  <c r="M5" i="1"/>
  <c r="N5" i="1"/>
  <c r="E5" i="1"/>
</calcChain>
</file>

<file path=xl/sharedStrings.xml><?xml version="1.0" encoding="utf-8"?>
<sst xmlns="http://schemas.openxmlformats.org/spreadsheetml/2006/main" count="1616" uniqueCount="887">
  <si>
    <t xml:space="preserve">No. </t>
  </si>
  <si>
    <t xml:space="preserve">Student's Name </t>
  </si>
  <si>
    <t>Sex</t>
  </si>
  <si>
    <t xml:space="preserve">Haset Seyoum </t>
  </si>
  <si>
    <t xml:space="preserve">Dagmawi Tewodros </t>
  </si>
  <si>
    <t xml:space="preserve">Nathan Tsegaye </t>
  </si>
  <si>
    <t xml:space="preserve">Robera Abayneh </t>
  </si>
  <si>
    <t xml:space="preserve">Biruh Teklay </t>
  </si>
  <si>
    <t xml:space="preserve">Carmel Abebe </t>
  </si>
  <si>
    <t xml:space="preserve">Noel Fitsum </t>
  </si>
  <si>
    <t>Jaiden Eyob</t>
  </si>
  <si>
    <t>Maramawit Nadew</t>
  </si>
  <si>
    <t>Meklit Berhanu</t>
  </si>
  <si>
    <t xml:space="preserve">Amanuel Lothar </t>
  </si>
  <si>
    <t xml:space="preserve">Adonias Petros </t>
  </si>
  <si>
    <t xml:space="preserve">Anna Dawit </t>
  </si>
  <si>
    <t>Azrom Endale</t>
  </si>
  <si>
    <t xml:space="preserve">Liya Fitsum </t>
  </si>
  <si>
    <t>Nathan Anteneh</t>
  </si>
  <si>
    <t xml:space="preserve">Noel Yao </t>
  </si>
  <si>
    <t xml:space="preserve">Biruk Paulos </t>
  </si>
  <si>
    <t>Efrata Mesfin</t>
  </si>
  <si>
    <t xml:space="preserve">Hemen Andualem </t>
  </si>
  <si>
    <t xml:space="preserve">Simone Hailu </t>
  </si>
  <si>
    <t xml:space="preserve">Eliana Birhane </t>
  </si>
  <si>
    <t xml:space="preserve">Kidus Yared </t>
  </si>
  <si>
    <t xml:space="preserve">Tizita Tilahun </t>
  </si>
  <si>
    <t xml:space="preserve">Amen Tesfalem </t>
  </si>
  <si>
    <t>Lilian Girma</t>
  </si>
  <si>
    <t xml:space="preserve">Alazar Ephrem </t>
  </si>
  <si>
    <t>Betelhem Nadew</t>
  </si>
  <si>
    <t xml:space="preserve">Kaleb Ermias </t>
  </si>
  <si>
    <t xml:space="preserve">Menelik Amanuel </t>
  </si>
  <si>
    <t xml:space="preserve">Rediet Birkila </t>
  </si>
  <si>
    <t xml:space="preserve">Simon Fitsum </t>
  </si>
  <si>
    <t xml:space="preserve">Surafel Zekarias </t>
  </si>
  <si>
    <t xml:space="preserve">Blen Birhane </t>
  </si>
  <si>
    <t xml:space="preserve">Segen Michael </t>
  </si>
  <si>
    <t xml:space="preserve">Semon Kibret </t>
  </si>
  <si>
    <t xml:space="preserve">Sinkua Bikila </t>
  </si>
  <si>
    <t>Yeabetsega Nadew</t>
  </si>
  <si>
    <t xml:space="preserve">Nahom Ermias </t>
  </si>
  <si>
    <t>Bealu Girma</t>
  </si>
  <si>
    <t>Dawit Mesfin</t>
  </si>
  <si>
    <t xml:space="preserve">Yabsera Asefa </t>
  </si>
  <si>
    <t xml:space="preserve">Meseret Beyene </t>
  </si>
  <si>
    <t xml:space="preserve">Marcos Hayelom </t>
  </si>
  <si>
    <t xml:space="preserve">Yosef Eyassu </t>
  </si>
  <si>
    <t xml:space="preserve">Amnen Mitiku </t>
  </si>
  <si>
    <t xml:space="preserve">Dagmar Melkamu </t>
  </si>
  <si>
    <t xml:space="preserve">Iddo Belachew </t>
  </si>
  <si>
    <t xml:space="preserve">Nebai Solomon </t>
  </si>
  <si>
    <t xml:space="preserve">Yeab Dawit </t>
  </si>
  <si>
    <t xml:space="preserve">Zoe Dawit </t>
  </si>
  <si>
    <t>Mariamawit Thomas</t>
  </si>
  <si>
    <t>Eldana Yonatan</t>
  </si>
  <si>
    <t>Tiobesta Mebea</t>
  </si>
  <si>
    <t>Yohana Zeray</t>
  </si>
  <si>
    <t>Surafel Alemayehu</t>
  </si>
  <si>
    <t>Amen Ewnetu</t>
  </si>
  <si>
    <t xml:space="preserve">Beza almayu </t>
  </si>
  <si>
    <t>Biruh Adefris</t>
  </si>
  <si>
    <t>David Ikhabi Okado</t>
  </si>
  <si>
    <t>Eldana Messay</t>
  </si>
  <si>
    <t>Elian Zekarias</t>
  </si>
  <si>
    <t>Eliana Anteneh</t>
  </si>
  <si>
    <t>Ella Yoseph</t>
  </si>
  <si>
    <t xml:space="preserve">Elleni Tewodros </t>
  </si>
  <si>
    <t>Elnathan Mekonnen</t>
  </si>
  <si>
    <t xml:space="preserve">Eyosiyas Samuel </t>
  </si>
  <si>
    <t>Ezra  Yirega</t>
  </si>
  <si>
    <t>Fikir Molla</t>
  </si>
  <si>
    <t xml:space="preserve">Fikir Samuel </t>
  </si>
  <si>
    <t xml:space="preserve">Hasset Belete </t>
  </si>
  <si>
    <t>Kerubel Bahiru</t>
  </si>
  <si>
    <t>Maraki Alem</t>
  </si>
  <si>
    <t>Markon Melaku</t>
  </si>
  <si>
    <t>Markon Samson</t>
  </si>
  <si>
    <t>Natnael Habtom</t>
  </si>
  <si>
    <t>Rina Sami</t>
  </si>
  <si>
    <t>Yam Dawit</t>
  </si>
  <si>
    <t>Abel Zekarias</t>
  </si>
  <si>
    <t>Aklile Solomon</t>
  </si>
  <si>
    <t>Blen Ermias</t>
  </si>
  <si>
    <t>Elhanan Sun</t>
  </si>
  <si>
    <t>Elkan Jemal</t>
  </si>
  <si>
    <t>Eyobed Zemenue</t>
  </si>
  <si>
    <t>Hamlen Abegaz</t>
  </si>
  <si>
    <t>Kaleb Esayas</t>
  </si>
  <si>
    <t>Makeda Milord</t>
  </si>
  <si>
    <t xml:space="preserve">Maryamawit Yared </t>
  </si>
  <si>
    <t>Moses Bonfanti</t>
  </si>
  <si>
    <t>Nathan M. Hailu</t>
  </si>
  <si>
    <t xml:space="preserve">Niyatna Tewelde </t>
  </si>
  <si>
    <t xml:space="preserve">Nobel Bisrat </t>
  </si>
  <si>
    <t xml:space="preserve">Noel Tegbar </t>
  </si>
  <si>
    <t>Rakeb Zerihun</t>
  </si>
  <si>
    <t>Rediet Tamrat</t>
  </si>
  <si>
    <t xml:space="preserve">Tselot Walelign </t>
  </si>
  <si>
    <t>Tsenue Suraphel</t>
  </si>
  <si>
    <t xml:space="preserve">Yesu zewdu </t>
  </si>
  <si>
    <t xml:space="preserve">Yohanna Thomas </t>
  </si>
  <si>
    <t>Yonatan Berhanu</t>
  </si>
  <si>
    <t>Zeamanuel Sophonias</t>
  </si>
  <si>
    <t xml:space="preserve">Abegel Melkamu </t>
  </si>
  <si>
    <t>Adill Omer</t>
  </si>
  <si>
    <t>Barcon Solomon</t>
  </si>
  <si>
    <t>Bella Mack</t>
  </si>
  <si>
    <t>Biruk Daniel</t>
  </si>
  <si>
    <t>Christian Abel</t>
  </si>
  <si>
    <t>Daniel Menkir</t>
  </si>
  <si>
    <t>Dawit Tewoldebirhane</t>
  </si>
  <si>
    <t>Debi Tsegaye</t>
  </si>
  <si>
    <t>Eliana Beniyam</t>
  </si>
  <si>
    <t>Ezana Berhanu</t>
  </si>
  <si>
    <t>Gudina Tadesse</t>
  </si>
  <si>
    <t>Luel Yonatan</t>
  </si>
  <si>
    <t>Lulia Kibrom</t>
  </si>
  <si>
    <t>Mayah Abraham</t>
  </si>
  <si>
    <t>Medon Endale</t>
  </si>
  <si>
    <t>Naol Solomon</t>
  </si>
  <si>
    <t>Rania Ahmed</t>
  </si>
  <si>
    <t>Rena Endalkachew</t>
  </si>
  <si>
    <t>Retil Nasser</t>
  </si>
  <si>
    <t>Solyana Mulugeta</t>
  </si>
  <si>
    <t>Abigail Berhanu</t>
  </si>
  <si>
    <t>Amen Samson</t>
  </si>
  <si>
    <t xml:space="preserve">Amran Mesfin </t>
  </si>
  <si>
    <t>Anna Mitiku</t>
  </si>
  <si>
    <t>Azariah Amaha</t>
  </si>
  <si>
    <t>Barok Melaku</t>
  </si>
  <si>
    <t>Bayan Sileshi</t>
  </si>
  <si>
    <t>Debora Tesfalem</t>
  </si>
  <si>
    <t xml:space="preserve">Desta Alexander </t>
  </si>
  <si>
    <t>Eliana Mehari</t>
  </si>
  <si>
    <t>Enon Bruke</t>
  </si>
  <si>
    <t>Eyuel Kinfe</t>
  </si>
  <si>
    <t>Halet Temesgen</t>
  </si>
  <si>
    <t>Kalkidan Demelash</t>
  </si>
  <si>
    <t>Lillian Amanuel</t>
  </si>
  <si>
    <t>Maya Wail Hassen</t>
  </si>
  <si>
    <t xml:space="preserve">Mekyas Tewodros </t>
  </si>
  <si>
    <t>Muhammed Ali</t>
  </si>
  <si>
    <t>Natinael Zelalem</t>
  </si>
  <si>
    <t>Yididya Lemlem</t>
  </si>
  <si>
    <t>Yordanos Ermias</t>
  </si>
  <si>
    <t>Abem Daniel</t>
  </si>
  <si>
    <t>Arsema Solomon</t>
  </si>
  <si>
    <t>Benaya Habtom</t>
  </si>
  <si>
    <t>Christian Tewelde</t>
  </si>
  <si>
    <t>Dagmawi Anaoli</t>
  </si>
  <si>
    <t>Eliana Tegbar</t>
  </si>
  <si>
    <t xml:space="preserve">Elyas Samson </t>
  </si>
  <si>
    <t>Eyoab Berhanu</t>
  </si>
  <si>
    <t>Heran Yoseph</t>
  </si>
  <si>
    <t>Mickyias Tewodros</t>
  </si>
  <si>
    <t>Nathan Bemnet</t>
  </si>
  <si>
    <t>Rami Omer</t>
  </si>
  <si>
    <t>Saron Zeray</t>
  </si>
  <si>
    <t>Shanti Anteneh</t>
  </si>
  <si>
    <t>Sophie Asmerom</t>
  </si>
  <si>
    <t>Tsion Bewket</t>
  </si>
  <si>
    <t>Yamel Benyam</t>
  </si>
  <si>
    <t>Yetsion Amha</t>
  </si>
  <si>
    <t>Aaron  Abebe</t>
  </si>
  <si>
    <t>Afomia Seifu</t>
  </si>
  <si>
    <t>Amen Essey</t>
  </si>
  <si>
    <t>Azaria Biruk</t>
  </si>
  <si>
    <t>Bereket Teshom</t>
  </si>
  <si>
    <t>Berzeli Alem</t>
  </si>
  <si>
    <t>Caleb Dawit</t>
  </si>
  <si>
    <t>Dagmawi Amare</t>
  </si>
  <si>
    <t>Daniel Dawit</t>
  </si>
  <si>
    <t>Eliana Mekonnen</t>
  </si>
  <si>
    <t>Eshal Ahmed</t>
  </si>
  <si>
    <t>Himanot Walellign</t>
  </si>
  <si>
    <t>Imani Namuye Okado</t>
  </si>
  <si>
    <t>Markon Solomon</t>
  </si>
  <si>
    <t>Naomi Netsanet</t>
  </si>
  <si>
    <t>Natan Tsegaye</t>
  </si>
  <si>
    <t>Nethen Yao</t>
  </si>
  <si>
    <t>Rafael Mekonnen</t>
  </si>
  <si>
    <t>Rina Mesfin</t>
  </si>
  <si>
    <t>Ruth Hulasrsh</t>
  </si>
  <si>
    <t>Saron Abel</t>
  </si>
  <si>
    <t>Sishu Medhane</t>
  </si>
  <si>
    <t>Yohana Misay</t>
  </si>
  <si>
    <t>Amen Kahsay</t>
  </si>
  <si>
    <t>Biruk Mulugeta</t>
  </si>
  <si>
    <t>Christian Tibebe</t>
  </si>
  <si>
    <t>Ecclesia Habtom</t>
  </si>
  <si>
    <t>Eyosias Tarkegn</t>
  </si>
  <si>
    <t>Khelil Nasser</t>
  </si>
  <si>
    <t>Malik Said</t>
  </si>
  <si>
    <t>Miral Haron</t>
  </si>
  <si>
    <t>Natalina Kinde</t>
  </si>
  <si>
    <t>Nelani Tigistu</t>
  </si>
  <si>
    <t>Nolawi Biruk</t>
  </si>
  <si>
    <t>Siduna Seifu</t>
  </si>
  <si>
    <t>Soliana Temesgen</t>
  </si>
  <si>
    <t>Tabneab Adane</t>
  </si>
  <si>
    <t>Yafet Woldehana</t>
  </si>
  <si>
    <t xml:space="preserve">Yonatan Tewoldebirhan </t>
  </si>
  <si>
    <t>Zakir Sa`ad</t>
  </si>
  <si>
    <t>Angel Aref</t>
  </si>
  <si>
    <t>Blen Daniel</t>
  </si>
  <si>
    <t>Eldana Afework</t>
  </si>
  <si>
    <t>Hildana Jember</t>
  </si>
  <si>
    <t>Kal Kidane</t>
  </si>
  <si>
    <t>Kirubel Seyoum</t>
  </si>
  <si>
    <t>Micaiah Samson</t>
  </si>
  <si>
    <t>Michael Tesfaye</t>
  </si>
  <si>
    <t xml:space="preserve">Natan Tamrat </t>
  </si>
  <si>
    <t>Natnael Awoke</t>
  </si>
  <si>
    <t>Noha Abraham</t>
  </si>
  <si>
    <t>Senata Tariku</t>
  </si>
  <si>
    <t>Simon Adefres</t>
  </si>
  <si>
    <t>Soliana Zekarias</t>
  </si>
  <si>
    <t>Yaphet Yohannes</t>
  </si>
  <si>
    <t xml:space="preserve">Zekarias Atnafu </t>
  </si>
  <si>
    <t>Abenezer Assebe</t>
  </si>
  <si>
    <t>Abreham Bewuket</t>
  </si>
  <si>
    <t>Amen Tibebe</t>
  </si>
  <si>
    <t>Arsema Lemlem</t>
  </si>
  <si>
    <t>Bereket Endale</t>
  </si>
  <si>
    <t>Betselot Abebe</t>
  </si>
  <si>
    <t>Emadi Endalkachew</t>
  </si>
  <si>
    <t xml:space="preserve">Fistum Debebe </t>
  </si>
  <si>
    <t>Heamen Engdawork</t>
  </si>
  <si>
    <t>Kiyaki Fekadeselassie</t>
  </si>
  <si>
    <t>Lilian Tewodros</t>
  </si>
  <si>
    <t>Nathaniel Girum</t>
  </si>
  <si>
    <t>Nebiyu Yonas</t>
  </si>
  <si>
    <t>Nethen Neguse</t>
  </si>
  <si>
    <t>Sophie Mack</t>
  </si>
  <si>
    <t>Yabsira Amare</t>
  </si>
  <si>
    <t>Yonathan Sun Guoqiang</t>
  </si>
  <si>
    <t>Aaron Zelalem</t>
  </si>
  <si>
    <t>Amanuel Adane</t>
  </si>
  <si>
    <t>Betselot Abel</t>
  </si>
  <si>
    <t>Eyosyas Berhanu</t>
  </si>
  <si>
    <t>Henok Solomon</t>
  </si>
  <si>
    <t xml:space="preserve">Luhena Samuel </t>
  </si>
  <si>
    <t>Marsilas Mesfin</t>
  </si>
  <si>
    <t>Nahom Muluneh</t>
  </si>
  <si>
    <t xml:space="preserve">Natnael Girma </t>
  </si>
  <si>
    <t>Netana Ahadu</t>
  </si>
  <si>
    <t>Nia Abdulaziz</t>
  </si>
  <si>
    <t xml:space="preserve">Sophonias Berhe </t>
  </si>
  <si>
    <t>Abel Anaoli</t>
  </si>
  <si>
    <t xml:space="preserve">Bethlihem Girma </t>
  </si>
  <si>
    <t>Bruck Woldehana</t>
  </si>
  <si>
    <t>Dania Alemayehu</t>
  </si>
  <si>
    <t>Delina Berhanu</t>
  </si>
  <si>
    <t>Elnathan Sun Guogiang</t>
  </si>
  <si>
    <t>Eman Hiredin</t>
  </si>
  <si>
    <t>Eyob Andualem</t>
  </si>
  <si>
    <t>Eyosiyas Melaku</t>
  </si>
  <si>
    <t>Hanan Mohamed</t>
  </si>
  <si>
    <t>Mariamawit Tesfaye</t>
  </si>
  <si>
    <t>Snit Michael</t>
  </si>
  <si>
    <t>Suzan Sa`ad</t>
  </si>
  <si>
    <t>Yeb Samson</t>
  </si>
  <si>
    <t>Yordanos Berhe</t>
  </si>
  <si>
    <t>Zekarias Tewolde</t>
  </si>
  <si>
    <t>Zia Ibrahim</t>
  </si>
  <si>
    <t>Adonyas Kahsay</t>
  </si>
  <si>
    <t>Betel Petros</t>
  </si>
  <si>
    <t>Biruk Kasay Wolday</t>
  </si>
  <si>
    <t>Dagim Eyassu</t>
  </si>
  <si>
    <t>Eliana Abraham</t>
  </si>
  <si>
    <t>Elisia Eyob</t>
  </si>
  <si>
    <t>Ellena Asmerom</t>
  </si>
  <si>
    <t>Evan Sileshi</t>
  </si>
  <si>
    <t>Hemen Paulos</t>
  </si>
  <si>
    <t>Robel Kinfe</t>
  </si>
  <si>
    <t>Sutan Tsegaye</t>
  </si>
  <si>
    <t>Yeab Mulugeta</t>
  </si>
  <si>
    <t>Yohanna Belete</t>
  </si>
  <si>
    <t>Abigael Awet</t>
  </si>
  <si>
    <t xml:space="preserve">Aresema Biniam </t>
  </si>
  <si>
    <t>Arsema Awoke</t>
  </si>
  <si>
    <t xml:space="preserve">Betaniya Assebe </t>
  </si>
  <si>
    <t>Bruck Menkir</t>
  </si>
  <si>
    <t>Dagmawit Fitsum</t>
  </si>
  <si>
    <t>Elnathan Fisseha</t>
  </si>
  <si>
    <t>Hermon Neguse</t>
  </si>
  <si>
    <t>Maraki Ahadu</t>
  </si>
  <si>
    <t>Michael Tsegaye</t>
  </si>
  <si>
    <t>Nathan Yohannes</t>
  </si>
  <si>
    <t>Nathania Dawit</t>
  </si>
  <si>
    <t>Noah Ahadu</t>
  </si>
  <si>
    <t>Reoat Alemayehu</t>
  </si>
  <si>
    <t>Robel Gizachew</t>
  </si>
  <si>
    <t>Salem Bemnet</t>
  </si>
  <si>
    <t xml:space="preserve">Tesfa Endalkatchew </t>
  </si>
  <si>
    <t>Addurahman Nasser</t>
  </si>
  <si>
    <t>Amen Getabicha</t>
  </si>
  <si>
    <t>Belnathal Samuel</t>
  </si>
  <si>
    <t xml:space="preserve">Bethelhem Berhe </t>
  </si>
  <si>
    <t>Bruktayt Endale</t>
  </si>
  <si>
    <t>Eyas Emmad</t>
  </si>
  <si>
    <t>Kidus Petros</t>
  </si>
  <si>
    <t>Liya Daniel</t>
  </si>
  <si>
    <t>Maramawit Fasil</t>
  </si>
  <si>
    <t>Mathias Solomon</t>
  </si>
  <si>
    <t>Mihretab Teshom</t>
  </si>
  <si>
    <t>Naol Dereje</t>
  </si>
  <si>
    <t>Nohami Berhanu</t>
  </si>
  <si>
    <t>Semahil Kassaye</t>
  </si>
  <si>
    <t>Tyobeasta Dawit</t>
  </si>
  <si>
    <t>Yohannes Afework</t>
  </si>
  <si>
    <t>Asma Mohamed</t>
  </si>
  <si>
    <t>Carmel Getachew</t>
  </si>
  <si>
    <t>Fiona Ashenafi</t>
  </si>
  <si>
    <t>Maramawit Yoseph</t>
  </si>
  <si>
    <t>Melekite Yohannes</t>
  </si>
  <si>
    <t>Mohamed Saiad</t>
  </si>
  <si>
    <t>Rona Asfaw</t>
  </si>
  <si>
    <t>Tsehay Desalegn</t>
  </si>
  <si>
    <t>Abigail Josheph</t>
  </si>
  <si>
    <t>Kalkidan Amare</t>
  </si>
  <si>
    <t>Milka Ahadu</t>
  </si>
  <si>
    <t>Nahom K/Michael</t>
  </si>
  <si>
    <t>Yemariam Amha</t>
  </si>
  <si>
    <t>Anesu Zvavanjanja</t>
  </si>
  <si>
    <t>Edom Yared</t>
  </si>
  <si>
    <t>Emnet Charles</t>
  </si>
  <si>
    <t>Ewket Lema</t>
  </si>
  <si>
    <t>Feven Abera</t>
  </si>
  <si>
    <t>Hemen Asfaw</t>
  </si>
  <si>
    <t>Liya Yared</t>
  </si>
  <si>
    <t xml:space="preserve">Michael Eshetu  </t>
  </si>
  <si>
    <t>Salem Mulugeta</t>
  </si>
  <si>
    <t>Selamawit Gedlu</t>
  </si>
  <si>
    <t>Soliyana Yared</t>
  </si>
  <si>
    <t>Zerubabel Abera</t>
  </si>
  <si>
    <t>Arsema Gebreselama</t>
  </si>
  <si>
    <t>Bethelhem Bineyam</t>
  </si>
  <si>
    <t>Bilisuma Befkadu</t>
  </si>
  <si>
    <t>Ephrem Getachew</t>
  </si>
  <si>
    <t>Fikreselase Wondemeneh</t>
  </si>
  <si>
    <t xml:space="preserve">Mariamawit Jemal </t>
  </si>
  <si>
    <t>Raja Tsegaye</t>
  </si>
  <si>
    <t>Surafel Tesfaye</t>
  </si>
  <si>
    <t xml:space="preserve">Henok Kebede </t>
  </si>
  <si>
    <t>Shane Amare</t>
  </si>
  <si>
    <t>Grade IGCSE</t>
  </si>
  <si>
    <t xml:space="preserve">Bethel Yared </t>
  </si>
  <si>
    <t xml:space="preserve">Tesnim Adamu </t>
  </si>
  <si>
    <t>Eyerus Ayalew</t>
  </si>
  <si>
    <t>Hermela Kassahun</t>
  </si>
  <si>
    <t>Membere Fikadu</t>
  </si>
  <si>
    <t>Mihiret Wondimu</t>
  </si>
  <si>
    <t>Mistre Samuel</t>
  </si>
  <si>
    <t xml:space="preserve">Nathan Samson </t>
  </si>
  <si>
    <t>Talitha Paul</t>
  </si>
  <si>
    <t>Amnon Ashenafi</t>
  </si>
  <si>
    <t>Lamrot Kassa</t>
  </si>
  <si>
    <t>Barkume Tadesse</t>
  </si>
  <si>
    <t>Brook Daniiel</t>
  </si>
  <si>
    <t xml:space="preserve">Eyosias Adefres </t>
  </si>
  <si>
    <t>Feven Fekadu</t>
  </si>
  <si>
    <t>Kirubel Zekarias</t>
  </si>
  <si>
    <t>Liya Anteneh</t>
  </si>
  <si>
    <t>Martha Hayelom</t>
  </si>
  <si>
    <t xml:space="preserve">Nahom Lemlem </t>
  </si>
  <si>
    <t>Nahom Yared</t>
  </si>
  <si>
    <t>Nese Yoseph</t>
  </si>
  <si>
    <t>Rakeb Tesfalem</t>
  </si>
  <si>
    <t>Samuel Tsegaye</t>
  </si>
  <si>
    <t xml:space="preserve">Maya Efrem </t>
  </si>
  <si>
    <t>Yonatan Dereje</t>
  </si>
  <si>
    <t>Fikir Frazer</t>
  </si>
  <si>
    <t xml:space="preserve">Malak Omar </t>
  </si>
  <si>
    <t>M</t>
  </si>
  <si>
    <t>F</t>
  </si>
  <si>
    <t>Maya Gibreehiwot</t>
  </si>
  <si>
    <t>Betel Samson</t>
  </si>
  <si>
    <t>Zoya Nebyu</t>
  </si>
  <si>
    <t xml:space="preserve">Naomi Temesgen </t>
  </si>
  <si>
    <t>Leoul Efrem</t>
  </si>
  <si>
    <t xml:space="preserve">Elda Dufera </t>
  </si>
  <si>
    <t xml:space="preserve">Melinda Ashu </t>
  </si>
  <si>
    <t xml:space="preserve">Aliya Jemal </t>
  </si>
  <si>
    <t xml:space="preserve">Yene Mistir </t>
  </si>
  <si>
    <t xml:space="preserve">Bethelehem Negussie </t>
  </si>
  <si>
    <t xml:space="preserve">Yemisirach Teshome </t>
  </si>
  <si>
    <t xml:space="preserve">Nanna Tegegne </t>
  </si>
  <si>
    <t xml:space="preserve">Anna Solomon </t>
  </si>
  <si>
    <t xml:space="preserve">Lina Ibrahim </t>
  </si>
  <si>
    <t xml:space="preserve">Eyasu Seifu </t>
  </si>
  <si>
    <t xml:space="preserve">Samuel Mulat </t>
  </si>
  <si>
    <t xml:space="preserve">Yonas Girma </t>
  </si>
  <si>
    <t xml:space="preserve">Alazar Solomon </t>
  </si>
  <si>
    <t xml:space="preserve">Kaleb Seifu </t>
  </si>
  <si>
    <t xml:space="preserve">Cherrenet Bekalu </t>
  </si>
  <si>
    <t xml:space="preserve">Ephrata Mekonnen </t>
  </si>
  <si>
    <t xml:space="preserve">Rebecca Joseph </t>
  </si>
  <si>
    <t xml:space="preserve">Duniyana Nebiyu </t>
  </si>
  <si>
    <t>Khulud Nassir</t>
  </si>
  <si>
    <t xml:space="preserve">Heman Samuel </t>
  </si>
  <si>
    <t>Yohannes Melaku</t>
  </si>
  <si>
    <t xml:space="preserve">Dawit Abadi </t>
  </si>
  <si>
    <t xml:space="preserve">Fiyona Alemayhu </t>
  </si>
  <si>
    <t>Melos Solomon</t>
  </si>
  <si>
    <t>Ethan Samson</t>
  </si>
  <si>
    <t>Tesfanesh H/Giorgis</t>
  </si>
  <si>
    <t>Semeret Getahun</t>
  </si>
  <si>
    <t>Eyerusalem  Yonas</t>
  </si>
  <si>
    <t>Nooriya Abdulsalam</t>
  </si>
  <si>
    <t xml:space="preserve">F </t>
  </si>
  <si>
    <t>Razy Abdulsalam</t>
  </si>
  <si>
    <t>Hermella Berhanu</t>
  </si>
  <si>
    <t>Kalkidan Wondaferaw</t>
  </si>
  <si>
    <t>Akiya Endalkachew</t>
  </si>
  <si>
    <t>Alexandria Una Frtancis</t>
  </si>
  <si>
    <t xml:space="preserve">Arsema Berhe </t>
  </si>
  <si>
    <t>Makda Woldu</t>
  </si>
  <si>
    <t>Natan Fasil</t>
  </si>
  <si>
    <t xml:space="preserve">Philiphos Ephrem </t>
  </si>
  <si>
    <t>Amanuel Teshome</t>
  </si>
  <si>
    <t>Taytan Tewanay</t>
  </si>
  <si>
    <t>Science</t>
  </si>
  <si>
    <t>Art</t>
  </si>
  <si>
    <t>Music</t>
  </si>
  <si>
    <t xml:space="preserve">English </t>
  </si>
  <si>
    <t>Amharic</t>
  </si>
  <si>
    <t>Average</t>
  </si>
  <si>
    <t>NA</t>
  </si>
  <si>
    <t>NG</t>
  </si>
  <si>
    <t>French</t>
  </si>
  <si>
    <t>Virtues</t>
  </si>
  <si>
    <t xml:space="preserve">Eldana Tewodros </t>
  </si>
  <si>
    <t>Kokob Mikiel</t>
  </si>
  <si>
    <t>Math in Amharic</t>
  </si>
  <si>
    <t>Science in Amharic</t>
  </si>
  <si>
    <t>Civics</t>
  </si>
  <si>
    <t>HPE</t>
  </si>
  <si>
    <t>Biology</t>
  </si>
  <si>
    <t>Physics</t>
  </si>
  <si>
    <t>Chemistry</t>
  </si>
  <si>
    <t>Junior Youth</t>
  </si>
  <si>
    <t>History</t>
  </si>
  <si>
    <t>Geography</t>
  </si>
  <si>
    <t>IT</t>
  </si>
  <si>
    <t>Economics</t>
  </si>
  <si>
    <t>Business</t>
  </si>
  <si>
    <t>Literature</t>
  </si>
  <si>
    <t>Grade AS-Level</t>
  </si>
  <si>
    <t xml:space="preserve">Average </t>
  </si>
  <si>
    <t xml:space="preserve"> Camb. Math</t>
  </si>
  <si>
    <t xml:space="preserve">No </t>
  </si>
  <si>
    <t>Camb. Science</t>
  </si>
  <si>
    <t xml:space="preserve"> </t>
  </si>
  <si>
    <t>Salman Abdola</t>
  </si>
  <si>
    <t>Mathematics</t>
  </si>
  <si>
    <t>OPIS180218</t>
  </si>
  <si>
    <t>OPIS180554</t>
  </si>
  <si>
    <t>OPIS200001</t>
  </si>
  <si>
    <t>OPIS180411</t>
  </si>
  <si>
    <t>OPIS180413</t>
  </si>
  <si>
    <t>OPIS180556</t>
  </si>
  <si>
    <t>OPIS180414</t>
  </si>
  <si>
    <t>OPIS180216</t>
  </si>
  <si>
    <t>OPIS180431</t>
  </si>
  <si>
    <t>OPIS180747</t>
  </si>
  <si>
    <t>OPIS180213</t>
  </si>
  <si>
    <t>OPIS180223</t>
  </si>
  <si>
    <t>OPIS180564</t>
  </si>
  <si>
    <t>OPIS180224</t>
  </si>
  <si>
    <t>OPIS180558</t>
  </si>
  <si>
    <t>OPIS200074</t>
  </si>
  <si>
    <t>OPIS180434</t>
  </si>
  <si>
    <t>OPIS200045</t>
  </si>
  <si>
    <t>OPIS180559</t>
  </si>
  <si>
    <t>OPIS180228</t>
  </si>
  <si>
    <t>OPIS180439</t>
  </si>
  <si>
    <t>OPIS200002</t>
  </si>
  <si>
    <t>OPIS200076</t>
  </si>
  <si>
    <t>OPIS200077</t>
  </si>
  <si>
    <t>OPIS180641</t>
  </si>
  <si>
    <t>Grade 2A-69</t>
  </si>
  <si>
    <t>OPIS180195</t>
  </si>
  <si>
    <t>OPIS180555</t>
  </si>
  <si>
    <t>OPIS180565</t>
  </si>
  <si>
    <t>OPIS180441</t>
  </si>
  <si>
    <t>OPIS190002</t>
  </si>
  <si>
    <t>OPIS180746</t>
  </si>
  <si>
    <t>OPIS180412</t>
  </si>
  <si>
    <t>OPIS200015</t>
  </si>
  <si>
    <t>OPIS180443</t>
  </si>
  <si>
    <t>OPIS180217</t>
  </si>
  <si>
    <t>OPIS180220</t>
  </si>
  <si>
    <t>OPIS180215</t>
  </si>
  <si>
    <t>OPIS180214</t>
  </si>
  <si>
    <t>OPIS180432</t>
  </si>
  <si>
    <t>OPIS180212</t>
  </si>
  <si>
    <t>OPIS180222</t>
  </si>
  <si>
    <t>OPIS180211</t>
  </si>
  <si>
    <t>OPIS200072</t>
  </si>
  <si>
    <t>OPIS200073</t>
  </si>
  <si>
    <t>OPIS180226</t>
  </si>
  <si>
    <t>OPIS180202</t>
  </si>
  <si>
    <t>OPIS200042</t>
  </si>
  <si>
    <t>OPIS180563</t>
  </si>
  <si>
    <t>OPIS180437</t>
  </si>
  <si>
    <t>OPIS200075</t>
  </si>
  <si>
    <t>OPIS180199</t>
  </si>
  <si>
    <t>OPIS180440</t>
  </si>
  <si>
    <t>Grade 2B-70</t>
  </si>
  <si>
    <t>Grade 3A-71</t>
  </si>
  <si>
    <t>OPIS200048</t>
  </si>
  <si>
    <t>OPIS180398</t>
  </si>
  <si>
    <t>OPIS200057</t>
  </si>
  <si>
    <t>OPIS180089</t>
  </si>
  <si>
    <t>OPIS200025</t>
  </si>
  <si>
    <t>OPIS180400</t>
  </si>
  <si>
    <t>OPIS180409</t>
  </si>
  <si>
    <t>OPIS180262</t>
  </si>
  <si>
    <t>OPIS200067</t>
  </si>
  <si>
    <t>OPIS180254</t>
  </si>
  <si>
    <t>OPIS180394</t>
  </si>
  <si>
    <t>OPIS180269</t>
  </si>
  <si>
    <t>OPIS180402</t>
  </si>
  <si>
    <t>OPIS180748</t>
  </si>
  <si>
    <t>OPIS200060</t>
  </si>
  <si>
    <t>OPIS180271</t>
  </si>
  <si>
    <t>OPIS200023</t>
  </si>
  <si>
    <t>OPIS200099</t>
  </si>
  <si>
    <t>OPIS180258</t>
  </si>
  <si>
    <t>OPIS180273</t>
  </si>
  <si>
    <t>OPIS180266</t>
  </si>
  <si>
    <t>OPIS180461</t>
  </si>
  <si>
    <t>OPIS200033</t>
  </si>
  <si>
    <t>OPIS200055</t>
  </si>
  <si>
    <t>OPIS180274</t>
  </si>
  <si>
    <t>OPIS180408</t>
  </si>
  <si>
    <t>OPIS180268</t>
  </si>
  <si>
    <t>OPIS200054</t>
  </si>
  <si>
    <t>OPIS180251</t>
  </si>
  <si>
    <t>OPIS180406</t>
  </si>
  <si>
    <t>OPIS180401</t>
  </si>
  <si>
    <t>OPIS180252</t>
  </si>
  <si>
    <t>OPIS180393</t>
  </si>
  <si>
    <t>OPIS180410</t>
  </si>
  <si>
    <t>OPIS180253</t>
  </si>
  <si>
    <t>OPIS200100</t>
  </si>
  <si>
    <t>OPIS200035</t>
  </si>
  <si>
    <t>OPIS180537</t>
  </si>
  <si>
    <t>OPIS180395</t>
  </si>
  <si>
    <t>OPIS200056</t>
  </si>
  <si>
    <t>OPIS180404</t>
  </si>
  <si>
    <t>OPIS180270</t>
  </si>
  <si>
    <t>OPIS180091</t>
  </si>
  <si>
    <t>OPIS180257</t>
  </si>
  <si>
    <t>OPIS200065</t>
  </si>
  <si>
    <t>OPIS180535</t>
  </si>
  <si>
    <t>OPIS180272</t>
  </si>
  <si>
    <t>OPIS180397</t>
  </si>
  <si>
    <t>OPIS180636</t>
  </si>
  <si>
    <t>OPIS200032</t>
  </si>
  <si>
    <t>OPIS200047</t>
  </si>
  <si>
    <t>OPIS180405</t>
  </si>
  <si>
    <t>Grade 3B-72</t>
  </si>
  <si>
    <t>Grade 4A-73</t>
  </si>
  <si>
    <t>OPIS180416</t>
  </si>
  <si>
    <t>OPIS180308</t>
  </si>
  <si>
    <t>OPIS180651</t>
  </si>
  <si>
    <t>OPIS180539</t>
  </si>
  <si>
    <t>OPIS180415</t>
  </si>
  <si>
    <t>OPIS180098</t>
  </si>
  <si>
    <t>OPIS180423</t>
  </si>
  <si>
    <t>OPIS180417</t>
  </si>
  <si>
    <t>OPIS180312</t>
  </si>
  <si>
    <t>OPIS200006</t>
  </si>
  <si>
    <t>OPIS180540</t>
  </si>
  <si>
    <t>OPIS180567</t>
  </si>
  <si>
    <t>OPIS180314</t>
  </si>
  <si>
    <t>OPIS200020</t>
  </si>
  <si>
    <t>OPIS200003</t>
  </si>
  <si>
    <t>OPIS180426</t>
  </si>
  <si>
    <t>OPIS180751</t>
  </si>
  <si>
    <t>OPIS180752</t>
  </si>
  <si>
    <t>OPIS180326</t>
  </si>
  <si>
    <t>OPIS180428</t>
  </si>
  <si>
    <t>OPIS180420</t>
  </si>
  <si>
    <t>OPIS180329</t>
  </si>
  <si>
    <t>OPIS180430</t>
  </si>
  <si>
    <t>OPIS200070</t>
  </si>
  <si>
    <t>Grade 4B-74</t>
  </si>
  <si>
    <t>OPIS200058</t>
  </si>
  <si>
    <t>OPIS180309</t>
  </si>
  <si>
    <t>OPIS180642</t>
  </si>
  <si>
    <t>OPIS180320</t>
  </si>
  <si>
    <t>OPIS180538</t>
  </si>
  <si>
    <t>OPIS180566</t>
  </si>
  <si>
    <t>OPIS180630</t>
  </si>
  <si>
    <t>OPIS180739</t>
  </si>
  <si>
    <t>OPIS180424</t>
  </si>
  <si>
    <t>OPIS180313</t>
  </si>
  <si>
    <t>OPIS180323</t>
  </si>
  <si>
    <t>OPIS180541</t>
  </si>
  <si>
    <t>OPIS180425</t>
  </si>
  <si>
    <t>OPIS180315</t>
  </si>
  <si>
    <t>OPIS180418</t>
  </si>
  <si>
    <t>OPIS180325</t>
  </si>
  <si>
    <t>OPIS180419</t>
  </si>
  <si>
    <t>OPIS180102</t>
  </si>
  <si>
    <t>OPIS180316</t>
  </si>
  <si>
    <t>OPIS180103</t>
  </si>
  <si>
    <t>OPIS180429</t>
  </si>
  <si>
    <t>OPIS180753</t>
  </si>
  <si>
    <t>OPIS180100</t>
  </si>
  <si>
    <t>OPIS180455</t>
  </si>
  <si>
    <t>OPIS200078</t>
  </si>
  <si>
    <t>OPIS180291</t>
  </si>
  <si>
    <t>OPIS180106</t>
  </si>
  <si>
    <t>OPIS200046</t>
  </si>
  <si>
    <t>OPIS180449</t>
  </si>
  <si>
    <t>OPIS180451</t>
  </si>
  <si>
    <t>OPIS180108</t>
  </si>
  <si>
    <t>OPIS180452</t>
  </si>
  <si>
    <t>OPIS180298</t>
  </si>
  <si>
    <t>OPIS180299</t>
  </si>
  <si>
    <t>OPIS180293</t>
  </si>
  <si>
    <t>OPIS180453</t>
  </si>
  <si>
    <t>OPIS180459</t>
  </si>
  <si>
    <t>OPIS180305</t>
  </si>
  <si>
    <t>OPIS180294</t>
  </si>
  <si>
    <t>OPIS180306</t>
  </si>
  <si>
    <t>OPIS180454</t>
  </si>
  <si>
    <t>Grade 5A-75</t>
  </si>
  <si>
    <t>OPIS180456</t>
  </si>
  <si>
    <t>OPIS180448</t>
  </si>
  <si>
    <t>OPIS180447</t>
  </si>
  <si>
    <t>OPIS180570</t>
  </si>
  <si>
    <t>OPIS180571</t>
  </si>
  <si>
    <t>OPIS180296</t>
  </si>
  <si>
    <t>OPIS180297</t>
  </si>
  <si>
    <t>OPIS180292</t>
  </si>
  <si>
    <t>OPIS180300</t>
  </si>
  <si>
    <t>OPIS180569</t>
  </si>
  <si>
    <t>OPIS200079</t>
  </si>
  <si>
    <t>OPIS180572</t>
  </si>
  <si>
    <t>OPIS180458</t>
  </si>
  <si>
    <t>OPIS180303</t>
  </si>
  <si>
    <t>OPIS180304</t>
  </si>
  <si>
    <t>OPIS180107</t>
  </si>
  <si>
    <t>Grade 5B-76</t>
  </si>
  <si>
    <t>OPIS180109</t>
  </si>
  <si>
    <t>OPIS180277</t>
  </si>
  <si>
    <t>OPIS180471</t>
  </si>
  <si>
    <t>OPIS180575</t>
  </si>
  <si>
    <t>OPIS180285</t>
  </si>
  <si>
    <t>OPIS180286</t>
  </si>
  <si>
    <t>OPIS180085</t>
  </si>
  <si>
    <t>OPIS200051</t>
  </si>
  <si>
    <t>OPIS180279</t>
  </si>
  <si>
    <t>OPIS180469</t>
  </si>
  <si>
    <t>OPIS200052</t>
  </si>
  <si>
    <t>OPIS180584</t>
  </si>
  <si>
    <t>OPIS180281</t>
  </si>
  <si>
    <t>OPIS180758</t>
  </si>
  <si>
    <t>OPIS200009</t>
  </si>
  <si>
    <t>OPIS180113</t>
  </si>
  <si>
    <t>OPIS180578</t>
  </si>
  <si>
    <t>OPIS200050</t>
  </si>
  <si>
    <t>OPIS180580</t>
  </si>
  <si>
    <t>OPIS180586</t>
  </si>
  <si>
    <t>Grade 6A-77</t>
  </si>
  <si>
    <t>OPIS200066</t>
  </si>
  <si>
    <t>OPIS180573</t>
  </si>
  <si>
    <t>OPIS180276</t>
  </si>
  <si>
    <t>OPIS180283</t>
  </si>
  <si>
    <t>OPIS180467</t>
  </si>
  <si>
    <t>OPIS180278</t>
  </si>
  <si>
    <t>OPIS180576</t>
  </si>
  <si>
    <t>OPIS180117</t>
  </si>
  <si>
    <t>OPIS200018</t>
  </si>
  <si>
    <t>OPIS180468</t>
  </si>
  <si>
    <t>OPIS180583</t>
  </si>
  <si>
    <t>OPIS180280</t>
  </si>
  <si>
    <t>OPIS180111</t>
  </si>
  <si>
    <t>OPIS180585</t>
  </si>
  <si>
    <t>OPIS180475</t>
  </si>
  <si>
    <t>OPIS180282</t>
  </si>
  <si>
    <t>OPIS180579</t>
  </si>
  <si>
    <t>OPIS180289</t>
  </si>
  <si>
    <t>OPIS180476</t>
  </si>
  <si>
    <t>OPIS200022</t>
  </si>
  <si>
    <t>OPIS200040</t>
  </si>
  <si>
    <t>Grade 6B-78</t>
  </si>
  <si>
    <t>OPIS180119</t>
  </si>
  <si>
    <t>OPIS180341</t>
  </si>
  <si>
    <t>OPIS180375</t>
  </si>
  <si>
    <t>OPIS180332</t>
  </si>
  <si>
    <t>OPIS180587</t>
  </si>
  <si>
    <t>OPIS180460</t>
  </si>
  <si>
    <t>OPIS180342</t>
  </si>
  <si>
    <t>OPIS180343</t>
  </si>
  <si>
    <t>OPIS180381</t>
  </si>
  <si>
    <t>OPIS180388</t>
  </si>
  <si>
    <t>OPIS180336</t>
  </si>
  <si>
    <t>OPIS200064</t>
  </si>
  <si>
    <t>OPIS180337</t>
  </si>
  <si>
    <t>OPIS180346</t>
  </si>
  <si>
    <t>OPIS180383</t>
  </si>
  <si>
    <t>OPIS180384</t>
  </si>
  <si>
    <t>OPIS180080</t>
  </si>
  <si>
    <t>OPIS180349</t>
  </si>
  <si>
    <t>OPIS180385</t>
  </si>
  <si>
    <t>Grade 7A-79</t>
  </si>
  <si>
    <t>OPIS180374</t>
  </si>
  <si>
    <t>OPIS180331</t>
  </si>
  <si>
    <t>OPIS180760</t>
  </si>
  <si>
    <t>OPIS180334</t>
  </si>
  <si>
    <t>OPIS180344</t>
  </si>
  <si>
    <t>OPIS180335</t>
  </si>
  <si>
    <t>OPIS200049</t>
  </si>
  <si>
    <t>OPIS180120</t>
  </si>
  <si>
    <t>OPIS180382</t>
  </si>
  <si>
    <t>OPIS180122</t>
  </si>
  <si>
    <t>OPIS180740</t>
  </si>
  <si>
    <t>OPIS180761</t>
  </si>
  <si>
    <t>OPIS180588</t>
  </si>
  <si>
    <t>OPIS200080</t>
  </si>
  <si>
    <t>OPIS180338</t>
  </si>
  <si>
    <t>OPIS180340</t>
  </si>
  <si>
    <t>Grade 7B-80</t>
  </si>
  <si>
    <t>OPIS200004</t>
  </si>
  <si>
    <t>OPIS180351</t>
  </si>
  <si>
    <t>OPIS180352</t>
  </si>
  <si>
    <t>OPIS200043</t>
  </si>
  <si>
    <t>OPIS180762</t>
  </si>
  <si>
    <t>OPIS180763</t>
  </si>
  <si>
    <t>OPIS200061</t>
  </si>
  <si>
    <t>OPIS180353</t>
  </si>
  <si>
    <t>OPIS180590</t>
  </si>
  <si>
    <t>OPIS200081</t>
  </si>
  <si>
    <t>OPIS180591</t>
  </si>
  <si>
    <t>OPIS180354</t>
  </si>
  <si>
    <t>OPIS200082</t>
  </si>
  <si>
    <t>OPIS180592</t>
  </si>
  <si>
    <t>OPIS180594</t>
  </si>
  <si>
    <t>OPIS180595</t>
  </si>
  <si>
    <t>OPIS180357</t>
  </si>
  <si>
    <t>OPIS180126</t>
  </si>
  <si>
    <t>OPIS180764</t>
  </si>
  <si>
    <t>OPIS180596</t>
  </si>
  <si>
    <t>OPIS180606</t>
  </si>
  <si>
    <t>Grade 8-81</t>
  </si>
  <si>
    <t>OPIS200083</t>
  </si>
  <si>
    <t>OPIS200024</t>
  </si>
  <si>
    <t>OPIS200084</t>
  </si>
  <si>
    <t>OPIS200085</t>
  </si>
  <si>
    <t>OPIS200086</t>
  </si>
  <si>
    <t>OPIS200087</t>
  </si>
  <si>
    <t>OPIS180367</t>
  </si>
  <si>
    <t>OPIS180358</t>
  </si>
  <si>
    <t>OPIS200088</t>
  </si>
  <si>
    <t>OPIS180603</t>
  </si>
  <si>
    <t>OPIS180604</t>
  </si>
  <si>
    <t>OPIS200019</t>
  </si>
  <si>
    <t>OPIS180369</t>
  </si>
  <si>
    <t>OPIS180481</t>
  </si>
  <si>
    <t>OPIS200026</t>
  </si>
  <si>
    <t>OPIS180371</t>
  </si>
  <si>
    <t>OPIS200089</t>
  </si>
  <si>
    <t>OPIS200008</t>
  </si>
  <si>
    <t>OPIS180605</t>
  </si>
  <si>
    <t>OPIS180372</t>
  </si>
  <si>
    <t>OPIS180483</t>
  </si>
  <si>
    <t>OPIS200090</t>
  </si>
  <si>
    <t>OPIS200091</t>
  </si>
  <si>
    <t>Grade 9-82</t>
  </si>
  <si>
    <t>OPIS200029</t>
  </si>
  <si>
    <t>OPIS200092</t>
  </si>
  <si>
    <t>OPIS180769</t>
  </si>
  <si>
    <t>OPIS180770</t>
  </si>
  <si>
    <t>OPIS180608</t>
  </si>
  <si>
    <t>OPIS200016</t>
  </si>
  <si>
    <t>OPIS180489</t>
  </si>
  <si>
    <t>OPIS180490</t>
  </si>
  <si>
    <t>OPIS200093</t>
  </si>
  <si>
    <t>OPIS200094</t>
  </si>
  <si>
    <t>OPIS180491</t>
  </si>
  <si>
    <t>OPIS180773</t>
  </si>
  <si>
    <t>OPIS180493</t>
  </si>
  <si>
    <t>Grade 10-83</t>
  </si>
  <si>
    <t>OPIS200095</t>
  </si>
  <si>
    <t>OPIS180497</t>
  </si>
  <si>
    <t>OPIS180499</t>
  </si>
  <si>
    <t>OPIS200096</t>
  </si>
  <si>
    <t>OPIS180500</t>
  </si>
  <si>
    <t>OPIS180501</t>
  </si>
  <si>
    <t>OPIS180776</t>
  </si>
  <si>
    <t>OPIS180503</t>
  </si>
  <si>
    <t>OPIS200005</t>
  </si>
  <si>
    <t>OPIS180615</t>
  </si>
  <si>
    <t>OPIS180507</t>
  </si>
  <si>
    <t>Grade 11(Natural)-84</t>
  </si>
  <si>
    <t>OPIS180508</t>
  </si>
  <si>
    <t>OPIS180509</t>
  </si>
  <si>
    <t>OPIS180778</t>
  </si>
  <si>
    <t>OPIS200098</t>
  </si>
  <si>
    <t>OPIS180780</t>
  </si>
  <si>
    <t>OPIS180781</t>
  </si>
  <si>
    <t>OPIS180782</t>
  </si>
  <si>
    <t>OPIS180512</t>
  </si>
  <si>
    <t>OPIS180783</t>
  </si>
  <si>
    <t>OPIS180513</t>
  </si>
  <si>
    <t>OPIS180514</t>
  </si>
  <si>
    <t>OPIS180784</t>
  </si>
  <si>
    <t>OPIS200097</t>
  </si>
  <si>
    <t>OPIS180620</t>
  </si>
  <si>
    <t>Grade 12-85</t>
  </si>
  <si>
    <t>OPIS180495</t>
  </si>
  <si>
    <t>OPIS180612</t>
  </si>
  <si>
    <t>OPIS180502</t>
  </si>
  <si>
    <t>OPIS180128</t>
  </si>
  <si>
    <t>OPIS180504</t>
  </si>
  <si>
    <t>OPIS180614</t>
  </si>
  <si>
    <t>OPIS180616</t>
  </si>
  <si>
    <t>OPIS180617</t>
  </si>
  <si>
    <t>OPIS180777</t>
  </si>
  <si>
    <t>Grade 11(Social)-86</t>
  </si>
  <si>
    <t>Social Studies</t>
  </si>
  <si>
    <t>Technical Drawing</t>
  </si>
  <si>
    <t>English</t>
  </si>
  <si>
    <t>Camb. Math</t>
  </si>
  <si>
    <t>OPIS200031</t>
  </si>
  <si>
    <t>OPIS200101</t>
  </si>
  <si>
    <t>OPIS200102</t>
  </si>
  <si>
    <t>OPIS200103</t>
  </si>
  <si>
    <t>OPIS200038</t>
  </si>
  <si>
    <t>OPIS200105</t>
  </si>
  <si>
    <t>OPIS200106</t>
  </si>
  <si>
    <t>OPIS200037</t>
  </si>
  <si>
    <t>OPIS200030</t>
  </si>
  <si>
    <t>OPIS200107</t>
  </si>
  <si>
    <t>OPIS200108</t>
  </si>
  <si>
    <t>OPIS200121</t>
  </si>
  <si>
    <t>OPIS200109</t>
  </si>
  <si>
    <t>OPIS200110</t>
  </si>
  <si>
    <t>OPIS200068</t>
  </si>
  <si>
    <t>OPIS200147</t>
  </si>
  <si>
    <t>OPIS200011</t>
  </si>
  <si>
    <t>OPIS200112</t>
  </si>
  <si>
    <t>OPIS200113</t>
  </si>
  <si>
    <t>OPIS200114</t>
  </si>
  <si>
    <t>OPIS200017</t>
  </si>
  <si>
    <t>OPIS200115</t>
  </si>
  <si>
    <t>OPIS200116</t>
  </si>
  <si>
    <t>OPIS200117</t>
  </si>
  <si>
    <t>OPIS200118</t>
  </si>
  <si>
    <t>OPIS200119</t>
  </si>
  <si>
    <t>OPIS200120</t>
  </si>
  <si>
    <t>OPIS200044</t>
  </si>
  <si>
    <t>OPIS200122</t>
  </si>
  <si>
    <t>OPIS200062</t>
  </si>
  <si>
    <t>OPIS180240</t>
  </si>
  <si>
    <t>OPIS200123</t>
  </si>
  <si>
    <t>OPIS200124</t>
  </si>
  <si>
    <t>OPIS200125</t>
  </si>
  <si>
    <t>OPIS200126</t>
  </si>
  <si>
    <t>OPIS200127</t>
  </si>
  <si>
    <t>OPIS200129</t>
  </si>
  <si>
    <t>OPIS200130</t>
  </si>
  <si>
    <t>OPIS200131</t>
  </si>
  <si>
    <t>OPIS200132</t>
  </si>
  <si>
    <t>OPIS200133</t>
  </si>
  <si>
    <t>OPIS200134</t>
  </si>
  <si>
    <t>OPIS200135</t>
  </si>
  <si>
    <t>OPIS200136</t>
  </si>
  <si>
    <t>OPIS200137</t>
  </si>
  <si>
    <t>OPIS200138</t>
  </si>
  <si>
    <t>OPIS200139</t>
  </si>
  <si>
    <t>OPIS200140</t>
  </si>
  <si>
    <t>OPIS200141</t>
  </si>
  <si>
    <t>OPIS200142</t>
  </si>
  <si>
    <t>OPIS200143</t>
  </si>
  <si>
    <t>OPIS200144</t>
  </si>
  <si>
    <t>OPIS200145</t>
  </si>
  <si>
    <t>OPIS200146</t>
  </si>
  <si>
    <t>Grade 1B-88</t>
  </si>
  <si>
    <t>Grade 1A-87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</si>
</sst>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Britannic Bold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1"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/>
    <xf numFmtId="0" fontId="6" fillId="2" borderId="0" xfId="0" applyFont="1" applyFill="1"/>
    <xf numFmtId="0" fontId="6" fillId="0" borderId="1" xfId="0" applyFont="1" applyFill="1" applyBorder="1"/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center"/>
    </xf>
    <xf numFmtId="0" fontId="5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5" fillId="2" borderId="1" xfId="0" applyNumberFormat="1" applyFont="1" applyFill="1" applyBorder="1"/>
    <xf numFmtId="0" fontId="6" fillId="2" borderId="1" xfId="0" applyFont="1" applyFill="1" applyBorder="1" applyAlignment="1">
      <alignment horizontal="left" vertical="top"/>
    </xf>
    <xf numFmtId="0" fontId="0" fillId="2" borderId="0" xfId="0" applyFont="1" applyFill="1"/>
    <xf numFmtId="0" fontId="0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0" xfId="0" applyFont="1" applyFill="1" applyAlignment="1">
      <alignment horizontal="right"/>
    </xf>
    <xf numFmtId="0" fontId="0" fillId="2" borderId="1" xfId="0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right"/>
    </xf>
    <xf numFmtId="164" fontId="5" fillId="2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3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0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6" fillId="5" borderId="0" xfId="0" applyFont="1" applyFill="1"/>
    <xf numFmtId="0" fontId="6" fillId="5" borderId="1" xfId="0" applyFont="1" applyFill="1" applyBorder="1" applyAlignment="1">
      <alignment horizontal="left" vertical="center"/>
    </xf>
    <xf numFmtId="0" fontId="0" fillId="5" borderId="0" xfId="0" applyFill="1"/>
    <xf numFmtId="0" fontId="0" fillId="6" borderId="0" xfId="0" applyFill="1"/>
    <xf numFmtId="0" fontId="8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7"/>
  <sheetViews>
    <sheetView zoomScaleNormal="100" workbookViewId="0">
      <selection sqref="A1:B2"/>
    </sheetView>
  </sheetViews>
  <sheetFormatPr defaultRowHeight="15" x14ac:dyDescent="0.25"/>
  <cols>
    <col min="1" max="1" width="4.85546875" style="13" customWidth="1"/>
    <col min="2" max="2" width="19.42578125" style="28" customWidth="1"/>
    <col min="3" max="3" width="11.140625" style="28" bestFit="1" customWidth="1"/>
    <col min="4" max="4" width="6" style="7" customWidth="1"/>
    <col min="5" max="6" width="10.28515625" style="28" customWidth="1"/>
    <col min="7" max="7" width="12.42578125" style="28" bestFit="1" customWidth="1"/>
    <col min="8" max="8" width="10.28515625" style="28" customWidth="1"/>
    <col min="9" max="9" width="13.28515625" style="28" bestFit="1" customWidth="1"/>
    <col min="10" max="15" width="10.28515625" style="28" customWidth="1"/>
  </cols>
  <sheetData>
    <row r="1" spans="1:25" s="1" customFormat="1" ht="6" customHeight="1" x14ac:dyDescent="0.25">
      <c r="A1" s="85" t="s">
        <v>886</v>
      </c>
      <c r="B1" s="86"/>
      <c r="C1" s="80"/>
      <c r="D1" s="7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25" s="1" customFormat="1" ht="10.5" customHeight="1" x14ac:dyDescent="0.25">
      <c r="A2" s="87"/>
      <c r="B2" s="88"/>
      <c r="C2" s="80"/>
      <c r="D2" s="7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25" ht="15.75" customHeight="1" x14ac:dyDescent="0.25">
      <c r="A3" s="23" t="s">
        <v>0</v>
      </c>
      <c r="B3" s="24" t="s">
        <v>1</v>
      </c>
      <c r="C3" s="24"/>
      <c r="D3" s="20" t="s">
        <v>2</v>
      </c>
      <c r="E3" s="29" t="s">
        <v>426</v>
      </c>
      <c r="F3" s="29" t="s">
        <v>427</v>
      </c>
      <c r="G3" s="29" t="s">
        <v>456</v>
      </c>
      <c r="H3" s="29" t="s">
        <v>423</v>
      </c>
      <c r="I3" s="29" t="s">
        <v>827</v>
      </c>
      <c r="J3" s="29" t="s">
        <v>432</v>
      </c>
      <c r="K3" s="29" t="s">
        <v>445</v>
      </c>
      <c r="L3" s="29" t="s">
        <v>424</v>
      </c>
      <c r="M3" s="29" t="s">
        <v>425</v>
      </c>
      <c r="N3" s="29" t="s">
        <v>438</v>
      </c>
      <c r="O3" s="29" t="s">
        <v>428</v>
      </c>
      <c r="P3" s="2"/>
      <c r="R3" s="2"/>
      <c r="S3" s="2"/>
      <c r="T3" s="2"/>
      <c r="U3" s="2"/>
      <c r="V3" s="2"/>
      <c r="W3" s="2"/>
      <c r="X3" s="2"/>
      <c r="Y3" s="2"/>
    </row>
    <row r="4" spans="1:25" s="5" customFormat="1" ht="14.25" customHeight="1" x14ac:dyDescent="0.3">
      <c r="A4" s="9">
        <v>1</v>
      </c>
      <c r="B4" s="27" t="s">
        <v>81</v>
      </c>
      <c r="C4" s="2" t="s">
        <v>831</v>
      </c>
      <c r="D4" s="10" t="s">
        <v>375</v>
      </c>
      <c r="E4" s="18">
        <v>70</v>
      </c>
      <c r="F4" s="18">
        <v>71</v>
      </c>
      <c r="G4" s="18">
        <v>64</v>
      </c>
      <c r="H4" s="18">
        <v>67</v>
      </c>
      <c r="I4" s="18">
        <v>70</v>
      </c>
      <c r="J4" s="18">
        <v>100</v>
      </c>
      <c r="K4" s="18">
        <v>98</v>
      </c>
      <c r="L4" s="18">
        <v>92</v>
      </c>
      <c r="M4" s="18">
        <v>100</v>
      </c>
      <c r="N4" s="18">
        <v>100</v>
      </c>
      <c r="O4" s="26">
        <f>AVERAGE(E4:N4)</f>
        <v>83.2</v>
      </c>
    </row>
    <row r="5" spans="1:25" s="5" customFormat="1" ht="14.25" customHeight="1" x14ac:dyDescent="0.3">
      <c r="A5" s="21"/>
      <c r="B5" s="27"/>
      <c r="C5" s="2"/>
      <c r="D5" s="10"/>
      <c r="E5" s="30" t="str">
        <f>IF(E4&gt;=90,"A",IF(E4&gt;=80,"B",IF(E4&gt;=70,"C",IF(E4&gt;=60,"D","F"))))</f>
        <v>C</v>
      </c>
      <c r="F5" s="30" t="str">
        <f t="shared" ref="F5:N5" si="0">IF(F4&gt;=90,"A",IF(F4&gt;=80,"B",IF(F4&gt;=70,"C",IF(F4&gt;=60,"D","F"))))</f>
        <v>C</v>
      </c>
      <c r="G5" s="30" t="str">
        <f t="shared" si="0"/>
        <v>D</v>
      </c>
      <c r="H5" s="30" t="str">
        <f t="shared" si="0"/>
        <v>D</v>
      </c>
      <c r="I5" s="30" t="str">
        <f t="shared" si="0"/>
        <v>C</v>
      </c>
      <c r="J5" s="30" t="str">
        <f t="shared" si="0"/>
        <v>A</v>
      </c>
      <c r="K5" s="30" t="str">
        <f t="shared" si="0"/>
        <v>A</v>
      </c>
      <c r="L5" s="30" t="str">
        <f t="shared" si="0"/>
        <v>A</v>
      </c>
      <c r="M5" s="30" t="str">
        <f t="shared" si="0"/>
        <v>A</v>
      </c>
      <c r="N5" s="30" t="str">
        <f t="shared" si="0"/>
        <v>A</v>
      </c>
      <c r="O5" s="26"/>
    </row>
    <row r="6" spans="1:25" s="5" customFormat="1" ht="14.25" customHeight="1" x14ac:dyDescent="0.3">
      <c r="A6" s="9">
        <v>2</v>
      </c>
      <c r="B6" s="27" t="s">
        <v>59</v>
      </c>
      <c r="C6" s="2" t="s">
        <v>832</v>
      </c>
      <c r="D6" s="10" t="s">
        <v>375</v>
      </c>
      <c r="E6" s="18">
        <v>92</v>
      </c>
      <c r="F6" s="18">
        <v>92</v>
      </c>
      <c r="G6" s="18">
        <v>90</v>
      </c>
      <c r="H6" s="18">
        <v>95</v>
      </c>
      <c r="I6" s="18">
        <v>98</v>
      </c>
      <c r="J6" s="18">
        <v>98</v>
      </c>
      <c r="K6" s="18">
        <v>99</v>
      </c>
      <c r="L6" s="18">
        <v>94</v>
      </c>
      <c r="M6" s="18">
        <v>100</v>
      </c>
      <c r="N6" s="18">
        <v>100</v>
      </c>
      <c r="O6" s="26">
        <f t="shared" ref="O6:O56" si="1">AVERAGE(E6:N6)</f>
        <v>95.8</v>
      </c>
    </row>
    <row r="7" spans="1:25" s="5" customFormat="1" ht="14.25" customHeight="1" x14ac:dyDescent="0.3">
      <c r="A7" s="21"/>
      <c r="B7" s="27"/>
      <c r="C7" s="2"/>
      <c r="D7" s="10"/>
      <c r="E7" s="30" t="str">
        <f>IF(E6&gt;=90,"A",IF(E6&gt;=80,"B",IF(E6&gt;=70,"C",IF(E6&gt;=60,"D","F"))))</f>
        <v>A</v>
      </c>
      <c r="F7" s="30" t="str">
        <f>IF(F6&gt;=90,"A",IF(F6&gt;=80,"B",IF(F6&gt;=70,"C",IF(F6&gt;=60,"D","F"))))</f>
        <v>A</v>
      </c>
      <c r="G7" s="30" t="str">
        <f t="shared" ref="G7" si="2">IF(G6&gt;=90,"A",IF(G6&gt;=80,"B",IF(G6&gt;=70,"C",IF(G6&gt;=60,"D","F"))))</f>
        <v>A</v>
      </c>
      <c r="H7" s="30" t="str">
        <f t="shared" ref="H7" si="3">IF(H6&gt;=90,"A",IF(H6&gt;=80,"B",IF(H6&gt;=70,"C",IF(H6&gt;=60,"D","F"))))</f>
        <v>A</v>
      </c>
      <c r="I7" s="30" t="str">
        <f t="shared" ref="I7" si="4">IF(I6&gt;=90,"A",IF(I6&gt;=80,"B",IF(I6&gt;=70,"C",IF(I6&gt;=60,"D","F"))))</f>
        <v>A</v>
      </c>
      <c r="J7" s="30" t="str">
        <f t="shared" ref="J7" si="5">IF(J6&gt;=90,"A",IF(J6&gt;=80,"B",IF(J6&gt;=70,"C",IF(J6&gt;=60,"D","F"))))</f>
        <v>A</v>
      </c>
      <c r="K7" s="30" t="str">
        <f t="shared" ref="K7" si="6">IF(K6&gt;=90,"A",IF(K6&gt;=80,"B",IF(K6&gt;=70,"C",IF(K6&gt;=60,"D","F"))))</f>
        <v>A</v>
      </c>
      <c r="L7" s="30" t="str">
        <f t="shared" ref="L7" si="7">IF(L6&gt;=90,"A",IF(L6&gt;=80,"B",IF(L6&gt;=70,"C",IF(L6&gt;=60,"D","F"))))</f>
        <v>A</v>
      </c>
      <c r="M7" s="30" t="str">
        <f t="shared" ref="M7" si="8">IF(M6&gt;=90,"A",IF(M6&gt;=80,"B",IF(M6&gt;=70,"C",IF(M6&gt;=60,"D","F"))))</f>
        <v>A</v>
      </c>
      <c r="N7" s="30" t="str">
        <f t="shared" ref="N7" si="9">IF(N6&gt;=90,"A",IF(N6&gt;=80,"B",IF(N6&gt;=70,"C",IF(N6&gt;=60,"D","F"))))</f>
        <v>A</v>
      </c>
      <c r="O7" s="26"/>
    </row>
    <row r="8" spans="1:25" s="5" customFormat="1" ht="14.25" customHeight="1" x14ac:dyDescent="0.3">
      <c r="A8" s="9">
        <v>3</v>
      </c>
      <c r="B8" s="27" t="s">
        <v>48</v>
      </c>
      <c r="C8" s="2" t="s">
        <v>833</v>
      </c>
      <c r="D8" s="10" t="s">
        <v>375</v>
      </c>
      <c r="E8" s="18">
        <v>91</v>
      </c>
      <c r="F8" s="18">
        <v>93</v>
      </c>
      <c r="G8" s="18">
        <v>92</v>
      </c>
      <c r="H8" s="18">
        <v>97</v>
      </c>
      <c r="I8" s="18">
        <v>100</v>
      </c>
      <c r="J8" s="18">
        <v>99</v>
      </c>
      <c r="K8" s="18">
        <v>99</v>
      </c>
      <c r="L8" s="18">
        <v>92</v>
      </c>
      <c r="M8" s="18">
        <v>100</v>
      </c>
      <c r="N8" s="18">
        <v>100</v>
      </c>
      <c r="O8" s="26">
        <f t="shared" si="1"/>
        <v>96.3</v>
      </c>
    </row>
    <row r="9" spans="1:25" s="5" customFormat="1" ht="14.25" customHeight="1" x14ac:dyDescent="0.3">
      <c r="A9" s="21"/>
      <c r="B9" s="27"/>
      <c r="C9" s="2"/>
      <c r="D9" s="10"/>
      <c r="E9" s="30" t="str">
        <f>IF(E8&gt;=90,"A",IF(E8&gt;=80,"B",IF(E8&gt;=70,"C",IF(E8&gt;=60,"D","F"))))</f>
        <v>A</v>
      </c>
      <c r="F9" s="30" t="str">
        <f t="shared" ref="F9" si="10">IF(F8&gt;=90,"A",IF(F8&gt;=80,"B",IF(F8&gt;=70,"C",IF(F8&gt;=60,"D","F"))))</f>
        <v>A</v>
      </c>
      <c r="G9" s="30" t="str">
        <f t="shared" ref="G9" si="11">IF(G8&gt;=90,"A",IF(G8&gt;=80,"B",IF(G8&gt;=70,"C",IF(G8&gt;=60,"D","F"))))</f>
        <v>A</v>
      </c>
      <c r="H9" s="30" t="str">
        <f t="shared" ref="H9" si="12">IF(H8&gt;=90,"A",IF(H8&gt;=80,"B",IF(H8&gt;=70,"C",IF(H8&gt;=60,"D","F"))))</f>
        <v>A</v>
      </c>
      <c r="I9" s="30" t="str">
        <f t="shared" ref="I9" si="13">IF(I8&gt;=90,"A",IF(I8&gt;=80,"B",IF(I8&gt;=70,"C",IF(I8&gt;=60,"D","F"))))</f>
        <v>A</v>
      </c>
      <c r="J9" s="30" t="str">
        <f t="shared" ref="J9" si="14">IF(J8&gt;=90,"A",IF(J8&gt;=80,"B",IF(J8&gt;=70,"C",IF(J8&gt;=60,"D","F"))))</f>
        <v>A</v>
      </c>
      <c r="K9" s="30" t="str">
        <f t="shared" ref="K9" si="15">IF(K8&gt;=90,"A",IF(K8&gt;=80,"B",IF(K8&gt;=70,"C",IF(K8&gt;=60,"D","F"))))</f>
        <v>A</v>
      </c>
      <c r="L9" s="30" t="str">
        <f t="shared" ref="L9" si="16">IF(L8&gt;=90,"A",IF(L8&gt;=80,"B",IF(L8&gt;=70,"C",IF(L8&gt;=60,"D","F"))))</f>
        <v>A</v>
      </c>
      <c r="M9" s="30" t="str">
        <f t="shared" ref="M9" si="17">IF(M8&gt;=90,"A",IF(M8&gt;=80,"B",IF(M8&gt;=70,"C",IF(M8&gt;=60,"D","F"))))</f>
        <v>A</v>
      </c>
      <c r="N9" s="30" t="str">
        <f t="shared" ref="N9" si="18">IF(N8&gt;=90,"A",IF(N8&gt;=80,"B",IF(N8&gt;=70,"C",IF(N8&gt;=60,"D","F"))))</f>
        <v>A</v>
      </c>
      <c r="O9" s="26"/>
    </row>
    <row r="10" spans="1:25" s="5" customFormat="1" ht="14.25" customHeight="1" x14ac:dyDescent="0.3">
      <c r="A10" s="9">
        <v>4</v>
      </c>
      <c r="B10" s="27" t="s">
        <v>60</v>
      </c>
      <c r="C10" s="2" t="s">
        <v>834</v>
      </c>
      <c r="D10" s="10" t="s">
        <v>376</v>
      </c>
      <c r="E10" s="18">
        <v>80</v>
      </c>
      <c r="F10" s="18">
        <v>97</v>
      </c>
      <c r="G10" s="18">
        <v>81</v>
      </c>
      <c r="H10" s="18">
        <v>92</v>
      </c>
      <c r="I10" s="18">
        <v>92</v>
      </c>
      <c r="J10" s="18">
        <v>98</v>
      </c>
      <c r="K10" s="18">
        <v>97</v>
      </c>
      <c r="L10" s="18">
        <v>90</v>
      </c>
      <c r="M10" s="18">
        <v>100</v>
      </c>
      <c r="N10" s="18">
        <v>100</v>
      </c>
      <c r="O10" s="26">
        <f t="shared" si="1"/>
        <v>92.7</v>
      </c>
    </row>
    <row r="11" spans="1:25" s="5" customFormat="1" ht="14.25" customHeight="1" x14ac:dyDescent="0.3">
      <c r="A11" s="21"/>
      <c r="B11" s="27"/>
      <c r="C11" s="2"/>
      <c r="D11" s="10"/>
      <c r="E11" s="30" t="str">
        <f>IF(E10&gt;=90,"A",IF(E10&gt;=80,"B",IF(E10&gt;=70,"C",IF(E10&gt;=60,"D","F"))))</f>
        <v>B</v>
      </c>
      <c r="F11" s="30" t="str">
        <f t="shared" ref="F11" si="19">IF(F10&gt;=90,"A",IF(F10&gt;=80,"B",IF(F10&gt;=70,"C",IF(F10&gt;=60,"D","F"))))</f>
        <v>A</v>
      </c>
      <c r="G11" s="30" t="str">
        <f t="shared" ref="G11" si="20">IF(G10&gt;=90,"A",IF(G10&gt;=80,"B",IF(G10&gt;=70,"C",IF(G10&gt;=60,"D","F"))))</f>
        <v>B</v>
      </c>
      <c r="H11" s="30" t="str">
        <f t="shared" ref="H11" si="21">IF(H10&gt;=90,"A",IF(H10&gt;=80,"B",IF(H10&gt;=70,"C",IF(H10&gt;=60,"D","F"))))</f>
        <v>A</v>
      </c>
      <c r="I11" s="30" t="str">
        <f t="shared" ref="I11" si="22">IF(I10&gt;=90,"A",IF(I10&gt;=80,"B",IF(I10&gt;=70,"C",IF(I10&gt;=60,"D","F"))))</f>
        <v>A</v>
      </c>
      <c r="J11" s="30" t="str">
        <f t="shared" ref="J11" si="23">IF(J10&gt;=90,"A",IF(J10&gt;=80,"B",IF(J10&gt;=70,"C",IF(J10&gt;=60,"D","F"))))</f>
        <v>A</v>
      </c>
      <c r="K11" s="30" t="str">
        <f t="shared" ref="K11" si="24">IF(K10&gt;=90,"A",IF(K10&gt;=80,"B",IF(K10&gt;=70,"C",IF(K10&gt;=60,"D","F"))))</f>
        <v>A</v>
      </c>
      <c r="L11" s="30" t="str">
        <f t="shared" ref="L11" si="25">IF(L10&gt;=90,"A",IF(L10&gt;=80,"B",IF(L10&gt;=70,"C",IF(L10&gt;=60,"D","F"))))</f>
        <v>A</v>
      </c>
      <c r="M11" s="30" t="str">
        <f t="shared" ref="M11" si="26">IF(M10&gt;=90,"A",IF(M10&gt;=80,"B",IF(M10&gt;=70,"C",IF(M10&gt;=60,"D","F"))))</f>
        <v>A</v>
      </c>
      <c r="N11" s="30" t="str">
        <f t="shared" ref="N11" si="27">IF(N10&gt;=90,"A",IF(N10&gt;=80,"B",IF(N10&gt;=70,"C",IF(N10&gt;=60,"D","F"))))</f>
        <v>A</v>
      </c>
      <c r="O11" s="26"/>
    </row>
    <row r="12" spans="1:25" s="5" customFormat="1" ht="14.25" customHeight="1" x14ac:dyDescent="0.3">
      <c r="A12" s="9">
        <v>5</v>
      </c>
      <c r="B12" s="27" t="s">
        <v>61</v>
      </c>
      <c r="C12" s="2" t="s">
        <v>835</v>
      </c>
      <c r="D12" s="10" t="s">
        <v>376</v>
      </c>
      <c r="E12" s="18">
        <v>94</v>
      </c>
      <c r="F12" s="18">
        <v>98</v>
      </c>
      <c r="G12" s="18">
        <v>98</v>
      </c>
      <c r="H12" s="18">
        <v>99</v>
      </c>
      <c r="I12" s="18">
        <v>98</v>
      </c>
      <c r="J12" s="18">
        <v>100</v>
      </c>
      <c r="K12" s="18">
        <v>98</v>
      </c>
      <c r="L12" s="18">
        <v>100</v>
      </c>
      <c r="M12" s="18">
        <v>100</v>
      </c>
      <c r="N12" s="18">
        <v>100</v>
      </c>
      <c r="O12" s="26">
        <f t="shared" si="1"/>
        <v>98.5</v>
      </c>
    </row>
    <row r="13" spans="1:25" s="5" customFormat="1" ht="14.25" customHeight="1" x14ac:dyDescent="0.3">
      <c r="A13" s="21"/>
      <c r="B13" s="27"/>
      <c r="C13" s="2"/>
      <c r="D13" s="10"/>
      <c r="E13" s="30" t="str">
        <f>IF(E12&gt;=90,"A",IF(E12&gt;=80,"B",IF(E12&gt;=70,"C",IF(E12&gt;=60,"D","F"))))</f>
        <v>A</v>
      </c>
      <c r="F13" s="30" t="str">
        <f t="shared" ref="F13" si="28">IF(F12&gt;=90,"A",IF(F12&gt;=80,"B",IF(F12&gt;=70,"C",IF(F12&gt;=60,"D","F"))))</f>
        <v>A</v>
      </c>
      <c r="G13" s="30" t="str">
        <f t="shared" ref="G13" si="29">IF(G12&gt;=90,"A",IF(G12&gt;=80,"B",IF(G12&gt;=70,"C",IF(G12&gt;=60,"D","F"))))</f>
        <v>A</v>
      </c>
      <c r="H13" s="30" t="str">
        <f t="shared" ref="H13" si="30">IF(H12&gt;=90,"A",IF(H12&gt;=80,"B",IF(H12&gt;=70,"C",IF(H12&gt;=60,"D","F"))))</f>
        <v>A</v>
      </c>
      <c r="I13" s="30" t="str">
        <f t="shared" ref="I13" si="31">IF(I12&gt;=90,"A",IF(I12&gt;=80,"B",IF(I12&gt;=70,"C",IF(I12&gt;=60,"D","F"))))</f>
        <v>A</v>
      </c>
      <c r="J13" s="30" t="str">
        <f t="shared" ref="J13" si="32">IF(J12&gt;=90,"A",IF(J12&gt;=80,"B",IF(J12&gt;=70,"C",IF(J12&gt;=60,"D","F"))))</f>
        <v>A</v>
      </c>
      <c r="K13" s="30" t="str">
        <f t="shared" ref="K13" si="33">IF(K12&gt;=90,"A",IF(K12&gt;=80,"B",IF(K12&gt;=70,"C",IF(K12&gt;=60,"D","F"))))</f>
        <v>A</v>
      </c>
      <c r="L13" s="30" t="str">
        <f t="shared" ref="L13" si="34">IF(L12&gt;=90,"A",IF(L12&gt;=80,"B",IF(L12&gt;=70,"C",IF(L12&gt;=60,"D","F"))))</f>
        <v>A</v>
      </c>
      <c r="M13" s="30" t="str">
        <f t="shared" ref="M13" si="35">IF(M12&gt;=90,"A",IF(M12&gt;=80,"B",IF(M12&gt;=70,"C",IF(M12&gt;=60,"D","F"))))</f>
        <v>A</v>
      </c>
      <c r="N13" s="30" t="str">
        <f t="shared" ref="N13" si="36">IF(N12&gt;=90,"A",IF(N12&gt;=80,"B",IF(N12&gt;=70,"C",IF(N12&gt;=60,"D","F"))))</f>
        <v>A</v>
      </c>
      <c r="O13" s="26"/>
    </row>
    <row r="14" spans="1:25" s="5" customFormat="1" ht="14.25" customHeight="1" x14ac:dyDescent="0.3">
      <c r="A14" s="9">
        <v>6</v>
      </c>
      <c r="B14" s="27" t="s">
        <v>49</v>
      </c>
      <c r="C14" s="2" t="s">
        <v>836</v>
      </c>
      <c r="D14" s="10" t="s">
        <v>376</v>
      </c>
      <c r="E14" s="18">
        <v>94</v>
      </c>
      <c r="F14" s="18">
        <v>98</v>
      </c>
      <c r="G14" s="18">
        <v>96</v>
      </c>
      <c r="H14" s="18">
        <v>97</v>
      </c>
      <c r="I14" s="18">
        <v>98</v>
      </c>
      <c r="J14" s="18">
        <v>97</v>
      </c>
      <c r="K14" s="18">
        <v>100</v>
      </c>
      <c r="L14" s="18">
        <v>96</v>
      </c>
      <c r="M14" s="18">
        <v>100</v>
      </c>
      <c r="N14" s="18">
        <v>100</v>
      </c>
      <c r="O14" s="26">
        <f t="shared" si="1"/>
        <v>97.6</v>
      </c>
    </row>
    <row r="15" spans="1:25" s="5" customFormat="1" ht="14.25" customHeight="1" x14ac:dyDescent="0.3">
      <c r="A15" s="21"/>
      <c r="B15" s="27"/>
      <c r="C15" s="2"/>
      <c r="D15" s="10"/>
      <c r="E15" s="30" t="str">
        <f>IF(E14&gt;=90,"A",IF(E14&gt;=80,"B",IF(E14&gt;=70,"C",IF(E14&gt;=60,"D","F"))))</f>
        <v>A</v>
      </c>
      <c r="F15" s="30" t="str">
        <f t="shared" ref="F15" si="37">IF(F14&gt;=90,"A",IF(F14&gt;=80,"B",IF(F14&gt;=70,"C",IF(F14&gt;=60,"D","F"))))</f>
        <v>A</v>
      </c>
      <c r="G15" s="30" t="str">
        <f t="shared" ref="G15" si="38">IF(G14&gt;=90,"A",IF(G14&gt;=80,"B",IF(G14&gt;=70,"C",IF(G14&gt;=60,"D","F"))))</f>
        <v>A</v>
      </c>
      <c r="H15" s="30" t="str">
        <f t="shared" ref="H15" si="39">IF(H14&gt;=90,"A",IF(H14&gt;=80,"B",IF(H14&gt;=70,"C",IF(H14&gt;=60,"D","F"))))</f>
        <v>A</v>
      </c>
      <c r="I15" s="30" t="str">
        <f t="shared" ref="I15" si="40">IF(I14&gt;=90,"A",IF(I14&gt;=80,"B",IF(I14&gt;=70,"C",IF(I14&gt;=60,"D","F"))))</f>
        <v>A</v>
      </c>
      <c r="J15" s="30" t="str">
        <f t="shared" ref="J15" si="41">IF(J14&gt;=90,"A",IF(J14&gt;=80,"B",IF(J14&gt;=70,"C",IF(J14&gt;=60,"D","F"))))</f>
        <v>A</v>
      </c>
      <c r="K15" s="30" t="str">
        <f t="shared" ref="K15" si="42">IF(K14&gt;=90,"A",IF(K14&gt;=80,"B",IF(K14&gt;=70,"C",IF(K14&gt;=60,"D","F"))))</f>
        <v>A</v>
      </c>
      <c r="L15" s="30" t="str">
        <f t="shared" ref="L15" si="43">IF(L14&gt;=90,"A",IF(L14&gt;=80,"B",IF(L14&gt;=70,"C",IF(L14&gt;=60,"D","F"))))</f>
        <v>A</v>
      </c>
      <c r="M15" s="30" t="str">
        <f t="shared" ref="M15" si="44">IF(M14&gt;=90,"A",IF(M14&gt;=80,"B",IF(M14&gt;=70,"C",IF(M14&gt;=60,"D","F"))))</f>
        <v>A</v>
      </c>
      <c r="N15" s="30" t="str">
        <f t="shared" ref="N15" si="45">IF(N14&gt;=90,"A",IF(N14&gt;=80,"B",IF(N14&gt;=70,"C",IF(N14&gt;=60,"D","F"))))</f>
        <v>A</v>
      </c>
      <c r="O15" s="26"/>
    </row>
    <row r="16" spans="1:25" s="5" customFormat="1" ht="14.25" customHeight="1" x14ac:dyDescent="0.3">
      <c r="A16" s="9">
        <v>7</v>
      </c>
      <c r="B16" s="27" t="s">
        <v>62</v>
      </c>
      <c r="C16" s="2" t="s">
        <v>837</v>
      </c>
      <c r="D16" s="10" t="s">
        <v>375</v>
      </c>
      <c r="E16" s="18">
        <v>81</v>
      </c>
      <c r="F16" s="57">
        <v>0</v>
      </c>
      <c r="G16" s="18">
        <v>84</v>
      </c>
      <c r="H16" s="18">
        <v>94</v>
      </c>
      <c r="I16" s="18">
        <v>91</v>
      </c>
      <c r="J16" s="18">
        <v>100</v>
      </c>
      <c r="K16" s="18">
        <v>92</v>
      </c>
      <c r="L16" s="18">
        <v>96</v>
      </c>
      <c r="M16" s="18">
        <v>94</v>
      </c>
      <c r="N16" s="18">
        <v>98</v>
      </c>
      <c r="O16" s="26">
        <f t="shared" si="1"/>
        <v>83</v>
      </c>
    </row>
    <row r="17" spans="1:15" s="5" customFormat="1" ht="14.25" customHeight="1" x14ac:dyDescent="0.3">
      <c r="A17" s="21"/>
      <c r="B17" s="27"/>
      <c r="C17" s="2"/>
      <c r="D17" s="10"/>
      <c r="E17" s="30" t="str">
        <f>IF(E16&gt;=90,"A",IF(E16&gt;=80,"B",IF(E16&gt;=70,"C",IF(E16&gt;=60,"D","F"))))</f>
        <v>B</v>
      </c>
      <c r="F17" s="30" t="str">
        <f t="shared" ref="F17" si="46">IF(F16&gt;=90,"A",IF(F16&gt;=80,"B",IF(F16&gt;=70,"C",IF(F16&gt;=60,"D","F"))))</f>
        <v>F</v>
      </c>
      <c r="G17" s="30" t="str">
        <f t="shared" ref="G17" si="47">IF(G16&gt;=90,"A",IF(G16&gt;=80,"B",IF(G16&gt;=70,"C",IF(G16&gt;=60,"D","F"))))</f>
        <v>B</v>
      </c>
      <c r="H17" s="30" t="str">
        <f t="shared" ref="H17" si="48">IF(H16&gt;=90,"A",IF(H16&gt;=80,"B",IF(H16&gt;=70,"C",IF(H16&gt;=60,"D","F"))))</f>
        <v>A</v>
      </c>
      <c r="I17" s="30" t="str">
        <f t="shared" ref="I17" si="49">IF(I16&gt;=90,"A",IF(I16&gt;=80,"B",IF(I16&gt;=70,"C",IF(I16&gt;=60,"D","F"))))</f>
        <v>A</v>
      </c>
      <c r="J17" s="30" t="str">
        <f t="shared" ref="J17" si="50">IF(J16&gt;=90,"A",IF(J16&gt;=80,"B",IF(J16&gt;=70,"C",IF(J16&gt;=60,"D","F"))))</f>
        <v>A</v>
      </c>
      <c r="K17" s="30" t="str">
        <f t="shared" ref="K17" si="51">IF(K16&gt;=90,"A",IF(K16&gt;=80,"B",IF(K16&gt;=70,"C",IF(K16&gt;=60,"D","F"))))</f>
        <v>A</v>
      </c>
      <c r="L17" s="30" t="str">
        <f t="shared" ref="L17" si="52">IF(L16&gt;=90,"A",IF(L16&gt;=80,"B",IF(L16&gt;=70,"C",IF(L16&gt;=60,"D","F"))))</f>
        <v>A</v>
      </c>
      <c r="M17" s="30" t="str">
        <f t="shared" ref="M17" si="53">IF(M16&gt;=90,"A",IF(M16&gt;=80,"B",IF(M16&gt;=70,"C",IF(M16&gt;=60,"D","F"))))</f>
        <v>A</v>
      </c>
      <c r="N17" s="30" t="str">
        <f t="shared" ref="N17" si="54">IF(N16&gt;=90,"A",IF(N16&gt;=80,"B",IF(N16&gt;=70,"C",IF(N16&gt;=60,"D","F"))))</f>
        <v>A</v>
      </c>
      <c r="O17" s="26"/>
    </row>
    <row r="18" spans="1:15" s="5" customFormat="1" ht="14.25" customHeight="1" x14ac:dyDescent="0.3">
      <c r="A18" s="9">
        <v>8</v>
      </c>
      <c r="B18" s="27" t="s">
        <v>63</v>
      </c>
      <c r="C18" s="2" t="s">
        <v>838</v>
      </c>
      <c r="D18" s="10" t="s">
        <v>376</v>
      </c>
      <c r="E18" s="18">
        <v>75</v>
      </c>
      <c r="F18" s="18">
        <v>54</v>
      </c>
      <c r="G18" s="18">
        <v>70</v>
      </c>
      <c r="H18" s="18">
        <v>80</v>
      </c>
      <c r="I18" s="18">
        <v>80</v>
      </c>
      <c r="J18" s="18">
        <v>100</v>
      </c>
      <c r="K18" s="18">
        <v>98</v>
      </c>
      <c r="L18" s="18">
        <v>91</v>
      </c>
      <c r="M18" s="18">
        <v>100</v>
      </c>
      <c r="N18" s="18">
        <v>100</v>
      </c>
      <c r="O18" s="26">
        <f t="shared" si="1"/>
        <v>84.8</v>
      </c>
    </row>
    <row r="19" spans="1:15" s="5" customFormat="1" ht="14.25" customHeight="1" x14ac:dyDescent="0.3">
      <c r="A19" s="21"/>
      <c r="B19" s="27"/>
      <c r="C19" s="2"/>
      <c r="D19" s="10"/>
      <c r="E19" s="30" t="str">
        <f>IF(E18&gt;=90,"A",IF(E18&gt;=80,"B",IF(E18&gt;=70,"C",IF(E18&gt;=60,"D","F"))))</f>
        <v>C</v>
      </c>
      <c r="F19" s="30" t="str">
        <f t="shared" ref="F19" si="55">IF(F18&gt;=90,"A",IF(F18&gt;=80,"B",IF(F18&gt;=70,"C",IF(F18&gt;=60,"D","F"))))</f>
        <v>F</v>
      </c>
      <c r="G19" s="30" t="str">
        <f t="shared" ref="G19" si="56">IF(G18&gt;=90,"A",IF(G18&gt;=80,"B",IF(G18&gt;=70,"C",IF(G18&gt;=60,"D","F"))))</f>
        <v>C</v>
      </c>
      <c r="H19" s="30" t="str">
        <f t="shared" ref="H19" si="57">IF(H18&gt;=90,"A",IF(H18&gt;=80,"B",IF(H18&gt;=70,"C",IF(H18&gt;=60,"D","F"))))</f>
        <v>B</v>
      </c>
      <c r="I19" s="30" t="str">
        <f t="shared" ref="I19" si="58">IF(I18&gt;=90,"A",IF(I18&gt;=80,"B",IF(I18&gt;=70,"C",IF(I18&gt;=60,"D","F"))))</f>
        <v>B</v>
      </c>
      <c r="J19" s="30" t="str">
        <f t="shared" ref="J19" si="59">IF(J18&gt;=90,"A",IF(J18&gt;=80,"B",IF(J18&gt;=70,"C",IF(J18&gt;=60,"D","F"))))</f>
        <v>A</v>
      </c>
      <c r="K19" s="30" t="str">
        <f t="shared" ref="K19" si="60">IF(K18&gt;=90,"A",IF(K18&gt;=80,"B",IF(K18&gt;=70,"C",IF(K18&gt;=60,"D","F"))))</f>
        <v>A</v>
      </c>
      <c r="L19" s="30" t="str">
        <f t="shared" ref="L19" si="61">IF(L18&gt;=90,"A",IF(L18&gt;=80,"B",IF(L18&gt;=70,"C",IF(L18&gt;=60,"D","F"))))</f>
        <v>A</v>
      </c>
      <c r="M19" s="30" t="str">
        <f t="shared" ref="M19" si="62">IF(M18&gt;=90,"A",IF(M18&gt;=80,"B",IF(M18&gt;=70,"C",IF(M18&gt;=60,"D","F"))))</f>
        <v>A</v>
      </c>
      <c r="N19" s="30" t="str">
        <f t="shared" ref="N19" si="63">IF(N18&gt;=90,"A",IF(N18&gt;=80,"B",IF(N18&gt;=70,"C",IF(N18&gt;=60,"D","F"))))</f>
        <v>A</v>
      </c>
      <c r="O19" s="26"/>
    </row>
    <row r="20" spans="1:15" s="5" customFormat="1" ht="14.25" customHeight="1" x14ac:dyDescent="0.3">
      <c r="A20" s="9">
        <v>9</v>
      </c>
      <c r="B20" s="27" t="s">
        <v>65</v>
      </c>
      <c r="C20" s="2" t="s">
        <v>840</v>
      </c>
      <c r="D20" s="10" t="s">
        <v>376</v>
      </c>
      <c r="E20" s="18">
        <v>87</v>
      </c>
      <c r="F20" s="18">
        <v>99</v>
      </c>
      <c r="G20" s="18">
        <v>98</v>
      </c>
      <c r="H20" s="18">
        <v>87</v>
      </c>
      <c r="I20" s="18">
        <v>95</v>
      </c>
      <c r="J20" s="18">
        <v>100</v>
      </c>
      <c r="K20" s="18">
        <v>98</v>
      </c>
      <c r="L20" s="18">
        <v>100</v>
      </c>
      <c r="M20" s="18">
        <v>100</v>
      </c>
      <c r="N20" s="18">
        <v>100</v>
      </c>
      <c r="O20" s="26">
        <f t="shared" si="1"/>
        <v>96.4</v>
      </c>
    </row>
    <row r="21" spans="1:15" s="5" customFormat="1" ht="14.25" customHeight="1" x14ac:dyDescent="0.3">
      <c r="A21" s="21"/>
      <c r="B21" s="27"/>
      <c r="D21" s="10"/>
      <c r="E21" s="30" t="str">
        <f>IF(E20&gt;=90,"A",IF(E20&gt;=80,"B",IF(E20&gt;=70,"C",IF(E20&gt;=60,"D","F"))))</f>
        <v>B</v>
      </c>
      <c r="F21" s="30" t="str">
        <f t="shared" ref="F21" si="64">IF(F20&gt;=90,"A",IF(F20&gt;=80,"B",IF(F20&gt;=70,"C",IF(F20&gt;=60,"D","F"))))</f>
        <v>A</v>
      </c>
      <c r="G21" s="30" t="str">
        <f t="shared" ref="G21" si="65">IF(G20&gt;=90,"A",IF(G20&gt;=80,"B",IF(G20&gt;=70,"C",IF(G20&gt;=60,"D","F"))))</f>
        <v>A</v>
      </c>
      <c r="H21" s="30" t="str">
        <f t="shared" ref="H21" si="66">IF(H20&gt;=90,"A",IF(H20&gt;=80,"B",IF(H20&gt;=70,"C",IF(H20&gt;=60,"D","F"))))</f>
        <v>B</v>
      </c>
      <c r="I21" s="30" t="str">
        <f t="shared" ref="I21" si="67">IF(I20&gt;=90,"A",IF(I20&gt;=80,"B",IF(I20&gt;=70,"C",IF(I20&gt;=60,"D","F"))))</f>
        <v>A</v>
      </c>
      <c r="J21" s="30" t="str">
        <f t="shared" ref="J21" si="68">IF(J20&gt;=90,"A",IF(J20&gt;=80,"B",IF(J20&gt;=70,"C",IF(J20&gt;=60,"D","F"))))</f>
        <v>A</v>
      </c>
      <c r="K21" s="30" t="str">
        <f t="shared" ref="K21" si="69">IF(K20&gt;=90,"A",IF(K20&gt;=80,"B",IF(K20&gt;=70,"C",IF(K20&gt;=60,"D","F"))))</f>
        <v>A</v>
      </c>
      <c r="L21" s="30" t="str">
        <f t="shared" ref="L21" si="70">IF(L20&gt;=90,"A",IF(L20&gt;=80,"B",IF(L20&gt;=70,"C",IF(L20&gt;=60,"D","F"))))</f>
        <v>A</v>
      </c>
      <c r="M21" s="30" t="str">
        <f t="shared" ref="M21" si="71">IF(M20&gt;=90,"A",IF(M20&gt;=80,"B",IF(M20&gt;=70,"C",IF(M20&gt;=60,"D","F"))))</f>
        <v>A</v>
      </c>
      <c r="N21" s="30" t="str">
        <f t="shared" ref="N21" si="72">IF(N20&gt;=90,"A",IF(N20&gt;=80,"B",IF(N20&gt;=70,"C",IF(N20&gt;=60,"D","F"))))</f>
        <v>A</v>
      </c>
      <c r="O21" s="26"/>
    </row>
    <row r="22" spans="1:15" s="5" customFormat="1" ht="14.25" customHeight="1" x14ac:dyDescent="0.3">
      <c r="A22" s="9">
        <v>10</v>
      </c>
      <c r="B22" s="27" t="s">
        <v>64</v>
      </c>
      <c r="C22" s="2" t="s">
        <v>839</v>
      </c>
      <c r="D22" s="10" t="s">
        <v>376</v>
      </c>
      <c r="E22" s="18">
        <v>82</v>
      </c>
      <c r="F22" s="18">
        <v>95</v>
      </c>
      <c r="G22" s="18">
        <v>85</v>
      </c>
      <c r="H22" s="18">
        <v>86</v>
      </c>
      <c r="I22" s="18">
        <v>84</v>
      </c>
      <c r="J22" s="18">
        <v>100</v>
      </c>
      <c r="K22" s="18">
        <v>99</v>
      </c>
      <c r="L22" s="18">
        <v>96</v>
      </c>
      <c r="M22" s="18">
        <v>100</v>
      </c>
      <c r="N22" s="18">
        <v>100</v>
      </c>
      <c r="O22" s="26">
        <f t="shared" si="1"/>
        <v>92.7</v>
      </c>
    </row>
    <row r="23" spans="1:15" s="5" customFormat="1" ht="14.25" customHeight="1" x14ac:dyDescent="0.3">
      <c r="A23" s="21"/>
      <c r="B23" s="27"/>
      <c r="C23" s="2"/>
      <c r="D23" s="10"/>
      <c r="E23" s="30" t="str">
        <f>IF(E22&gt;=90,"A",IF(E22&gt;=80,"B",IF(E22&gt;=70,"C",IF(E22&gt;=60,"D","F"))))</f>
        <v>B</v>
      </c>
      <c r="F23" s="30" t="str">
        <f t="shared" ref="F23" si="73">IF(F22&gt;=90,"A",IF(F22&gt;=80,"B",IF(F22&gt;=70,"C",IF(F22&gt;=60,"D","F"))))</f>
        <v>A</v>
      </c>
      <c r="G23" s="30" t="str">
        <f t="shared" ref="G23" si="74">IF(G22&gt;=90,"A",IF(G22&gt;=80,"B",IF(G22&gt;=70,"C",IF(G22&gt;=60,"D","F"))))</f>
        <v>B</v>
      </c>
      <c r="H23" s="30" t="str">
        <f t="shared" ref="H23" si="75">IF(H22&gt;=90,"A",IF(H22&gt;=80,"B",IF(H22&gt;=70,"C",IF(H22&gt;=60,"D","F"))))</f>
        <v>B</v>
      </c>
      <c r="I23" s="30" t="str">
        <f t="shared" ref="I23" si="76">IF(I22&gt;=90,"A",IF(I22&gt;=80,"B",IF(I22&gt;=70,"C",IF(I22&gt;=60,"D","F"))))</f>
        <v>B</v>
      </c>
      <c r="J23" s="30" t="str">
        <f t="shared" ref="J23" si="77">IF(J22&gt;=90,"A",IF(J22&gt;=80,"B",IF(J22&gt;=70,"C",IF(J22&gt;=60,"D","F"))))</f>
        <v>A</v>
      </c>
      <c r="K23" s="30" t="str">
        <f t="shared" ref="K23" si="78">IF(K22&gt;=90,"A",IF(K22&gt;=80,"B",IF(K22&gt;=70,"C",IF(K22&gt;=60,"D","F"))))</f>
        <v>A</v>
      </c>
      <c r="L23" s="30" t="str">
        <f t="shared" ref="L23" si="79">IF(L22&gt;=90,"A",IF(L22&gt;=80,"B",IF(L22&gt;=70,"C",IF(L22&gt;=60,"D","F"))))</f>
        <v>A</v>
      </c>
      <c r="M23" s="30" t="str">
        <f t="shared" ref="M23" si="80">IF(M22&gt;=90,"A",IF(M22&gt;=80,"B",IF(M22&gt;=70,"C",IF(M22&gt;=60,"D","F"))))</f>
        <v>A</v>
      </c>
      <c r="N23" s="30" t="str">
        <f t="shared" ref="N23" si="81">IF(N22&gt;=90,"A",IF(N22&gt;=80,"B",IF(N22&gt;=70,"C",IF(N22&gt;=60,"D","F"))))</f>
        <v>A</v>
      </c>
      <c r="O23" s="26"/>
    </row>
    <row r="24" spans="1:15" s="5" customFormat="1" ht="14.25" customHeight="1" x14ac:dyDescent="0.3">
      <c r="A24" s="9">
        <v>11</v>
      </c>
      <c r="B24" s="27" t="s">
        <v>67</v>
      </c>
      <c r="C24" s="2" t="s">
        <v>841</v>
      </c>
      <c r="D24" s="10" t="s">
        <v>376</v>
      </c>
      <c r="E24" s="18">
        <v>84</v>
      </c>
      <c r="F24" s="18">
        <v>90</v>
      </c>
      <c r="G24" s="18">
        <v>81</v>
      </c>
      <c r="H24" s="18">
        <v>95</v>
      </c>
      <c r="I24" s="18">
        <v>96</v>
      </c>
      <c r="J24" s="18">
        <v>100</v>
      </c>
      <c r="K24" s="18">
        <v>98</v>
      </c>
      <c r="L24" s="18">
        <v>97</v>
      </c>
      <c r="M24" s="18">
        <v>100</v>
      </c>
      <c r="N24" s="18">
        <v>100</v>
      </c>
      <c r="O24" s="26">
        <f t="shared" si="1"/>
        <v>94.1</v>
      </c>
    </row>
    <row r="25" spans="1:15" s="5" customFormat="1" ht="14.25" customHeight="1" x14ac:dyDescent="0.3">
      <c r="A25" s="21"/>
      <c r="B25" s="27"/>
      <c r="C25" s="2"/>
      <c r="D25" s="10"/>
      <c r="E25" s="30" t="str">
        <f>IF(E24&gt;=90,"A",IF(E24&gt;=80,"B",IF(E24&gt;=70,"C",IF(E24&gt;=60,"D","F"))))</f>
        <v>B</v>
      </c>
      <c r="F25" s="30" t="str">
        <f t="shared" ref="F25" si="82">IF(F24&gt;=90,"A",IF(F24&gt;=80,"B",IF(F24&gt;=70,"C",IF(F24&gt;=60,"D","F"))))</f>
        <v>A</v>
      </c>
      <c r="G25" s="30" t="str">
        <f t="shared" ref="G25" si="83">IF(G24&gt;=90,"A",IF(G24&gt;=80,"B",IF(G24&gt;=70,"C",IF(G24&gt;=60,"D","F"))))</f>
        <v>B</v>
      </c>
      <c r="H25" s="30" t="str">
        <f t="shared" ref="H25" si="84">IF(H24&gt;=90,"A",IF(H24&gt;=80,"B",IF(H24&gt;=70,"C",IF(H24&gt;=60,"D","F"))))</f>
        <v>A</v>
      </c>
      <c r="I25" s="30" t="str">
        <f t="shared" ref="I25" si="85">IF(I24&gt;=90,"A",IF(I24&gt;=80,"B",IF(I24&gt;=70,"C",IF(I24&gt;=60,"D","F"))))</f>
        <v>A</v>
      </c>
      <c r="J25" s="30" t="str">
        <f t="shared" ref="J25" si="86">IF(J24&gt;=90,"A",IF(J24&gt;=80,"B",IF(J24&gt;=70,"C",IF(J24&gt;=60,"D","F"))))</f>
        <v>A</v>
      </c>
      <c r="K25" s="30" t="str">
        <f t="shared" ref="K25" si="87">IF(K24&gt;=90,"A",IF(K24&gt;=80,"B",IF(K24&gt;=70,"C",IF(K24&gt;=60,"D","F"))))</f>
        <v>A</v>
      </c>
      <c r="L25" s="30" t="str">
        <f t="shared" ref="L25" si="88">IF(L24&gt;=90,"A",IF(L24&gt;=80,"B",IF(L24&gt;=70,"C",IF(L24&gt;=60,"D","F"))))</f>
        <v>A</v>
      </c>
      <c r="M25" s="30" t="str">
        <f t="shared" ref="M25" si="89">IF(M24&gt;=90,"A",IF(M24&gt;=80,"B",IF(M24&gt;=70,"C",IF(M24&gt;=60,"D","F"))))</f>
        <v>A</v>
      </c>
      <c r="N25" s="30" t="str">
        <f t="shared" ref="N25" si="90">IF(N24&gt;=90,"A",IF(N24&gt;=80,"B",IF(N24&gt;=70,"C",IF(N24&gt;=60,"D","F"))))</f>
        <v>A</v>
      </c>
      <c r="O25" s="26"/>
    </row>
    <row r="26" spans="1:15" s="5" customFormat="1" ht="14.25" customHeight="1" x14ac:dyDescent="0.3">
      <c r="A26" s="9">
        <v>12</v>
      </c>
      <c r="B26" s="27" t="s">
        <v>68</v>
      </c>
      <c r="C26" s="2" t="s">
        <v>842</v>
      </c>
      <c r="D26" s="10" t="s">
        <v>376</v>
      </c>
      <c r="E26" s="18">
        <v>98</v>
      </c>
      <c r="F26" s="18">
        <v>79</v>
      </c>
      <c r="G26" s="18">
        <v>97</v>
      </c>
      <c r="H26" s="18">
        <v>95</v>
      </c>
      <c r="I26" s="18">
        <v>98</v>
      </c>
      <c r="J26" s="18">
        <v>96</v>
      </c>
      <c r="K26" s="18">
        <v>98</v>
      </c>
      <c r="L26" s="18">
        <v>91</v>
      </c>
      <c r="M26" s="18">
        <v>100</v>
      </c>
      <c r="N26" s="18">
        <v>97</v>
      </c>
      <c r="O26" s="26">
        <f t="shared" si="1"/>
        <v>94.9</v>
      </c>
    </row>
    <row r="27" spans="1:15" s="5" customFormat="1" ht="14.25" customHeight="1" x14ac:dyDescent="0.3">
      <c r="A27" s="21"/>
      <c r="B27" s="27"/>
      <c r="C27" s="2"/>
      <c r="D27" s="10"/>
      <c r="E27" s="30" t="str">
        <f>IF(E26&gt;=90,"A",IF(E26&gt;=80,"B",IF(E26&gt;=70,"C",IF(E26&gt;=60,"D","F"))))</f>
        <v>A</v>
      </c>
      <c r="F27" s="30" t="str">
        <f t="shared" ref="F27" si="91">IF(F26&gt;=90,"A",IF(F26&gt;=80,"B",IF(F26&gt;=70,"C",IF(F26&gt;=60,"D","F"))))</f>
        <v>C</v>
      </c>
      <c r="G27" s="30" t="str">
        <f t="shared" ref="G27" si="92">IF(G26&gt;=90,"A",IF(G26&gt;=80,"B",IF(G26&gt;=70,"C",IF(G26&gt;=60,"D","F"))))</f>
        <v>A</v>
      </c>
      <c r="H27" s="30" t="str">
        <f t="shared" ref="H27" si="93">IF(H26&gt;=90,"A",IF(H26&gt;=80,"B",IF(H26&gt;=70,"C",IF(H26&gt;=60,"D","F"))))</f>
        <v>A</v>
      </c>
      <c r="I27" s="30" t="str">
        <f t="shared" ref="I27" si="94">IF(I26&gt;=90,"A",IF(I26&gt;=80,"B",IF(I26&gt;=70,"C",IF(I26&gt;=60,"D","F"))))</f>
        <v>A</v>
      </c>
      <c r="J27" s="30" t="str">
        <f t="shared" ref="J27" si="95">IF(J26&gt;=90,"A",IF(J26&gt;=80,"B",IF(J26&gt;=70,"C",IF(J26&gt;=60,"D","F"))))</f>
        <v>A</v>
      </c>
      <c r="K27" s="30" t="str">
        <f t="shared" ref="K27" si="96">IF(K26&gt;=90,"A",IF(K26&gt;=80,"B",IF(K26&gt;=70,"C",IF(K26&gt;=60,"D","F"))))</f>
        <v>A</v>
      </c>
      <c r="L27" s="30" t="str">
        <f t="shared" ref="L27" si="97">IF(L26&gt;=90,"A",IF(L26&gt;=80,"B",IF(L26&gt;=70,"C",IF(L26&gt;=60,"D","F"))))</f>
        <v>A</v>
      </c>
      <c r="M27" s="30" t="str">
        <f t="shared" ref="M27" si="98">IF(M26&gt;=90,"A",IF(M26&gt;=80,"B",IF(M26&gt;=70,"C",IF(M26&gt;=60,"D","F"))))</f>
        <v>A</v>
      </c>
      <c r="N27" s="30" t="str">
        <f t="shared" ref="N27" si="99">IF(N26&gt;=90,"A",IF(N26&gt;=80,"B",IF(N26&gt;=70,"C",IF(N26&gt;=60,"D","F"))))</f>
        <v>A</v>
      </c>
      <c r="O27" s="26"/>
    </row>
    <row r="28" spans="1:15" s="5" customFormat="1" ht="14.25" customHeight="1" x14ac:dyDescent="0.3">
      <c r="A28" s="9">
        <v>13</v>
      </c>
      <c r="B28" s="27" t="s">
        <v>69</v>
      </c>
      <c r="C28" s="2" t="s">
        <v>843</v>
      </c>
      <c r="D28" s="10" t="s">
        <v>376</v>
      </c>
      <c r="E28" s="18">
        <v>80</v>
      </c>
      <c r="F28" s="18">
        <v>93</v>
      </c>
      <c r="G28" s="18">
        <v>93</v>
      </c>
      <c r="H28" s="18">
        <v>90</v>
      </c>
      <c r="I28" s="18">
        <v>98</v>
      </c>
      <c r="J28" s="18">
        <v>93</v>
      </c>
      <c r="K28" s="18">
        <v>99</v>
      </c>
      <c r="L28" s="18">
        <v>100</v>
      </c>
      <c r="M28" s="18">
        <v>100</v>
      </c>
      <c r="N28" s="18">
        <v>100</v>
      </c>
      <c r="O28" s="26">
        <f t="shared" si="1"/>
        <v>94.6</v>
      </c>
    </row>
    <row r="29" spans="1:15" s="5" customFormat="1" ht="14.25" customHeight="1" x14ac:dyDescent="0.3">
      <c r="A29" s="21"/>
      <c r="B29" s="27"/>
      <c r="C29" s="2"/>
      <c r="D29" s="10"/>
      <c r="E29" s="30" t="str">
        <f>IF(E28&gt;=90,"A",IF(E28&gt;=80,"B",IF(E28&gt;=70,"C",IF(E28&gt;=60,"D","F"))))</f>
        <v>B</v>
      </c>
      <c r="F29" s="30" t="str">
        <f t="shared" ref="F29" si="100">IF(F28&gt;=90,"A",IF(F28&gt;=80,"B",IF(F28&gt;=70,"C",IF(F28&gt;=60,"D","F"))))</f>
        <v>A</v>
      </c>
      <c r="G29" s="30" t="str">
        <f t="shared" ref="G29" si="101">IF(G28&gt;=90,"A",IF(G28&gt;=80,"B",IF(G28&gt;=70,"C",IF(G28&gt;=60,"D","F"))))</f>
        <v>A</v>
      </c>
      <c r="H29" s="30" t="str">
        <f t="shared" ref="H29" si="102">IF(H28&gt;=90,"A",IF(H28&gt;=80,"B",IF(H28&gt;=70,"C",IF(H28&gt;=60,"D","F"))))</f>
        <v>A</v>
      </c>
      <c r="I29" s="30" t="str">
        <f t="shared" ref="I29" si="103">IF(I28&gt;=90,"A",IF(I28&gt;=80,"B",IF(I28&gt;=70,"C",IF(I28&gt;=60,"D","F"))))</f>
        <v>A</v>
      </c>
      <c r="J29" s="30" t="str">
        <f t="shared" ref="J29" si="104">IF(J28&gt;=90,"A",IF(J28&gt;=80,"B",IF(J28&gt;=70,"C",IF(J28&gt;=60,"D","F"))))</f>
        <v>A</v>
      </c>
      <c r="K29" s="30" t="str">
        <f t="shared" ref="K29" si="105">IF(K28&gt;=90,"A",IF(K28&gt;=80,"B",IF(K28&gt;=70,"C",IF(K28&gt;=60,"D","F"))))</f>
        <v>A</v>
      </c>
      <c r="L29" s="30" t="str">
        <f t="shared" ref="L29" si="106">IF(L28&gt;=90,"A",IF(L28&gt;=80,"B",IF(L28&gt;=70,"C",IF(L28&gt;=60,"D","F"))))</f>
        <v>A</v>
      </c>
      <c r="M29" s="30" t="str">
        <f t="shared" ref="M29" si="107">IF(M28&gt;=90,"A",IF(M28&gt;=80,"B",IF(M28&gt;=70,"C",IF(M28&gt;=60,"D","F"))))</f>
        <v>A</v>
      </c>
      <c r="N29" s="30" t="str">
        <f t="shared" ref="N29" si="108">IF(N28&gt;=90,"A",IF(N28&gt;=80,"B",IF(N28&gt;=70,"C",IF(N28&gt;=60,"D","F"))))</f>
        <v>A</v>
      </c>
      <c r="O29" s="26"/>
    </row>
    <row r="30" spans="1:15" s="5" customFormat="1" ht="14.25" customHeight="1" x14ac:dyDescent="0.3">
      <c r="A30" s="9">
        <v>14</v>
      </c>
      <c r="B30" s="27" t="s">
        <v>70</v>
      </c>
      <c r="C30" s="2" t="s">
        <v>844</v>
      </c>
      <c r="D30" s="10" t="s">
        <v>376</v>
      </c>
      <c r="E30" s="18">
        <v>80</v>
      </c>
      <c r="F30" s="18">
        <v>84</v>
      </c>
      <c r="G30" s="18">
        <v>79</v>
      </c>
      <c r="H30" s="18">
        <v>85</v>
      </c>
      <c r="I30" s="18">
        <v>85</v>
      </c>
      <c r="J30" s="18">
        <v>100</v>
      </c>
      <c r="K30" s="18">
        <v>98</v>
      </c>
      <c r="L30" s="18">
        <v>92</v>
      </c>
      <c r="M30" s="18">
        <v>100</v>
      </c>
      <c r="N30" s="18">
        <v>100</v>
      </c>
      <c r="O30" s="26">
        <f t="shared" si="1"/>
        <v>90.3</v>
      </c>
    </row>
    <row r="31" spans="1:15" s="5" customFormat="1" ht="14.25" customHeight="1" x14ac:dyDescent="0.3">
      <c r="A31" s="21"/>
      <c r="B31" s="27"/>
      <c r="C31" s="2"/>
      <c r="D31" s="10"/>
      <c r="E31" s="30" t="str">
        <f>IF(E30&gt;=90,"A",IF(E30&gt;=80,"B",IF(E30&gt;=70,"C",IF(E30&gt;=60,"D","F"))))</f>
        <v>B</v>
      </c>
      <c r="F31" s="30" t="str">
        <f t="shared" ref="F31" si="109">IF(F30&gt;=90,"A",IF(F30&gt;=80,"B",IF(F30&gt;=70,"C",IF(F30&gt;=60,"D","F"))))</f>
        <v>B</v>
      </c>
      <c r="G31" s="30" t="str">
        <f t="shared" ref="G31" si="110">IF(G30&gt;=90,"A",IF(G30&gt;=80,"B",IF(G30&gt;=70,"C",IF(G30&gt;=60,"D","F"))))</f>
        <v>C</v>
      </c>
      <c r="H31" s="30" t="str">
        <f t="shared" ref="H31" si="111">IF(H30&gt;=90,"A",IF(H30&gt;=80,"B",IF(H30&gt;=70,"C",IF(H30&gt;=60,"D","F"))))</f>
        <v>B</v>
      </c>
      <c r="I31" s="30" t="str">
        <f t="shared" ref="I31" si="112">IF(I30&gt;=90,"A",IF(I30&gt;=80,"B",IF(I30&gt;=70,"C",IF(I30&gt;=60,"D","F"))))</f>
        <v>B</v>
      </c>
      <c r="J31" s="30" t="str">
        <f t="shared" ref="J31" si="113">IF(J30&gt;=90,"A",IF(J30&gt;=80,"B",IF(J30&gt;=70,"C",IF(J30&gt;=60,"D","F"))))</f>
        <v>A</v>
      </c>
      <c r="K31" s="30" t="str">
        <f t="shared" ref="K31" si="114">IF(K30&gt;=90,"A",IF(K30&gt;=80,"B",IF(K30&gt;=70,"C",IF(K30&gt;=60,"D","F"))))</f>
        <v>A</v>
      </c>
      <c r="L31" s="30" t="str">
        <f t="shared" ref="L31" si="115">IF(L30&gt;=90,"A",IF(L30&gt;=80,"B",IF(L30&gt;=70,"C",IF(L30&gt;=60,"D","F"))))</f>
        <v>A</v>
      </c>
      <c r="M31" s="30" t="str">
        <f t="shared" ref="M31" si="116">IF(M30&gt;=90,"A",IF(M30&gt;=80,"B",IF(M30&gt;=70,"C",IF(M30&gt;=60,"D","F"))))</f>
        <v>A</v>
      </c>
      <c r="N31" s="30" t="str">
        <f t="shared" ref="N31" si="117">IF(N30&gt;=90,"A",IF(N30&gt;=80,"B",IF(N30&gt;=70,"C",IF(N30&gt;=60,"D","F"))))</f>
        <v>A</v>
      </c>
      <c r="O31" s="26"/>
    </row>
    <row r="32" spans="1:15" s="5" customFormat="1" ht="14.25" customHeight="1" x14ac:dyDescent="0.3">
      <c r="A32" s="9">
        <v>15</v>
      </c>
      <c r="B32" s="27" t="s">
        <v>71</v>
      </c>
      <c r="C32" s="2" t="s">
        <v>845</v>
      </c>
      <c r="D32" s="10" t="s">
        <v>376</v>
      </c>
      <c r="E32" s="18">
        <v>95</v>
      </c>
      <c r="F32" s="18">
        <v>99</v>
      </c>
      <c r="G32" s="18">
        <v>98</v>
      </c>
      <c r="H32" s="18">
        <v>93</v>
      </c>
      <c r="I32" s="18">
        <v>97</v>
      </c>
      <c r="J32" s="18">
        <v>100</v>
      </c>
      <c r="K32" s="18">
        <v>95</v>
      </c>
      <c r="L32" s="18">
        <v>94</v>
      </c>
      <c r="M32" s="18">
        <v>100</v>
      </c>
      <c r="N32" s="18">
        <v>100</v>
      </c>
      <c r="O32" s="26">
        <f t="shared" si="1"/>
        <v>97.1</v>
      </c>
    </row>
    <row r="33" spans="1:15" s="5" customFormat="1" ht="14.25" customHeight="1" x14ac:dyDescent="0.3">
      <c r="A33" s="21"/>
      <c r="B33" s="27"/>
      <c r="C33" s="2"/>
      <c r="D33" s="10"/>
      <c r="E33" s="30" t="str">
        <f>IF(E32&gt;=90,"A",IF(E32&gt;=80,"B",IF(E32&gt;=70,"C",IF(E32&gt;=60,"D","F"))))</f>
        <v>A</v>
      </c>
      <c r="F33" s="30" t="str">
        <f t="shared" ref="F33" si="118">IF(F32&gt;=90,"A",IF(F32&gt;=80,"B",IF(F32&gt;=70,"C",IF(F32&gt;=60,"D","F"))))</f>
        <v>A</v>
      </c>
      <c r="G33" s="30" t="str">
        <f t="shared" ref="G33" si="119">IF(G32&gt;=90,"A",IF(G32&gt;=80,"B",IF(G32&gt;=70,"C",IF(G32&gt;=60,"D","F"))))</f>
        <v>A</v>
      </c>
      <c r="H33" s="30" t="str">
        <f t="shared" ref="H33" si="120">IF(H32&gt;=90,"A",IF(H32&gt;=80,"B",IF(H32&gt;=70,"C",IF(H32&gt;=60,"D","F"))))</f>
        <v>A</v>
      </c>
      <c r="I33" s="30" t="str">
        <f t="shared" ref="I33" si="121">IF(I32&gt;=90,"A",IF(I32&gt;=80,"B",IF(I32&gt;=70,"C",IF(I32&gt;=60,"D","F"))))</f>
        <v>A</v>
      </c>
      <c r="J33" s="30" t="str">
        <f t="shared" ref="J33" si="122">IF(J32&gt;=90,"A",IF(J32&gt;=80,"B",IF(J32&gt;=70,"C",IF(J32&gt;=60,"D","F"))))</f>
        <v>A</v>
      </c>
      <c r="K33" s="30" t="str">
        <f t="shared" ref="K33" si="123">IF(K32&gt;=90,"A",IF(K32&gt;=80,"B",IF(K32&gt;=70,"C",IF(K32&gt;=60,"D","F"))))</f>
        <v>A</v>
      </c>
      <c r="L33" s="30" t="str">
        <f t="shared" ref="L33" si="124">IF(L32&gt;=90,"A",IF(L32&gt;=80,"B",IF(L32&gt;=70,"C",IF(L32&gt;=60,"D","F"))))</f>
        <v>A</v>
      </c>
      <c r="M33" s="30" t="str">
        <f t="shared" ref="M33" si="125">IF(M32&gt;=90,"A",IF(M32&gt;=80,"B",IF(M32&gt;=70,"C",IF(M32&gt;=60,"D","F"))))</f>
        <v>A</v>
      </c>
      <c r="N33" s="30" t="str">
        <f t="shared" ref="N33" si="126">IF(N32&gt;=90,"A",IF(N32&gt;=80,"B",IF(N32&gt;=70,"C",IF(N32&gt;=60,"D","F"))))</f>
        <v>A</v>
      </c>
      <c r="O33" s="26"/>
    </row>
    <row r="34" spans="1:15" s="5" customFormat="1" ht="14.25" customHeight="1" x14ac:dyDescent="0.3">
      <c r="A34" s="9">
        <v>16</v>
      </c>
      <c r="B34" s="27" t="s">
        <v>72</v>
      </c>
      <c r="C34" s="2" t="s">
        <v>846</v>
      </c>
      <c r="D34" s="10" t="s">
        <v>376</v>
      </c>
      <c r="E34" s="18">
        <v>91</v>
      </c>
      <c r="F34" s="18">
        <v>94</v>
      </c>
      <c r="G34" s="18">
        <v>92</v>
      </c>
      <c r="H34" s="18">
        <v>98</v>
      </c>
      <c r="I34" s="18">
        <v>96</v>
      </c>
      <c r="J34" s="18">
        <v>100</v>
      </c>
      <c r="K34" s="18">
        <v>100</v>
      </c>
      <c r="L34" s="18">
        <v>100</v>
      </c>
      <c r="M34" s="18">
        <v>100</v>
      </c>
      <c r="N34" s="18">
        <v>100</v>
      </c>
      <c r="O34" s="26">
        <f t="shared" si="1"/>
        <v>97.1</v>
      </c>
    </row>
    <row r="35" spans="1:15" s="5" customFormat="1" ht="14.25" customHeight="1" x14ac:dyDescent="0.3">
      <c r="A35" s="21"/>
      <c r="B35" s="27"/>
      <c r="C35" s="2"/>
      <c r="D35" s="10"/>
      <c r="E35" s="30" t="str">
        <f>IF(E34&gt;=90,"A",IF(E34&gt;=80,"B",IF(E34&gt;=70,"C",IF(E34&gt;=60,"D","F"))))</f>
        <v>A</v>
      </c>
      <c r="F35" s="30" t="str">
        <f t="shared" ref="F35" si="127">IF(F34&gt;=90,"A",IF(F34&gt;=80,"B",IF(F34&gt;=70,"C",IF(F34&gt;=60,"D","F"))))</f>
        <v>A</v>
      </c>
      <c r="G35" s="30" t="str">
        <f t="shared" ref="G35" si="128">IF(G34&gt;=90,"A",IF(G34&gt;=80,"B",IF(G34&gt;=70,"C",IF(G34&gt;=60,"D","F"))))</f>
        <v>A</v>
      </c>
      <c r="H35" s="30" t="str">
        <f t="shared" ref="H35" si="129">IF(H34&gt;=90,"A",IF(H34&gt;=80,"B",IF(H34&gt;=70,"C",IF(H34&gt;=60,"D","F"))))</f>
        <v>A</v>
      </c>
      <c r="I35" s="30" t="str">
        <f t="shared" ref="I35" si="130">IF(I34&gt;=90,"A",IF(I34&gt;=80,"B",IF(I34&gt;=70,"C",IF(I34&gt;=60,"D","F"))))</f>
        <v>A</v>
      </c>
      <c r="J35" s="30" t="str">
        <f t="shared" ref="J35" si="131">IF(J34&gt;=90,"A",IF(J34&gt;=80,"B",IF(J34&gt;=70,"C",IF(J34&gt;=60,"D","F"))))</f>
        <v>A</v>
      </c>
      <c r="K35" s="30" t="str">
        <f t="shared" ref="K35" si="132">IF(K34&gt;=90,"A",IF(K34&gt;=80,"B",IF(K34&gt;=70,"C",IF(K34&gt;=60,"D","F"))))</f>
        <v>A</v>
      </c>
      <c r="L35" s="30" t="str">
        <f t="shared" ref="L35" si="133">IF(L34&gt;=90,"A",IF(L34&gt;=80,"B",IF(L34&gt;=70,"C",IF(L34&gt;=60,"D","F"))))</f>
        <v>A</v>
      </c>
      <c r="M35" s="30" t="str">
        <f t="shared" ref="M35" si="134">IF(M34&gt;=90,"A",IF(M34&gt;=80,"B",IF(M34&gt;=70,"C",IF(M34&gt;=60,"D","F"))))</f>
        <v>A</v>
      </c>
      <c r="N35" s="30" t="str">
        <f t="shared" ref="N35" si="135">IF(N34&gt;=90,"A",IF(N34&gt;=80,"B",IF(N34&gt;=70,"C",IF(N34&gt;=60,"D","F"))))</f>
        <v>A</v>
      </c>
      <c r="O35" s="26"/>
    </row>
    <row r="36" spans="1:15" s="5" customFormat="1" ht="14.25" customHeight="1" x14ac:dyDescent="0.3">
      <c r="A36" s="9">
        <v>17</v>
      </c>
      <c r="B36" s="27" t="s">
        <v>404</v>
      </c>
      <c r="C36" s="2" t="s">
        <v>847</v>
      </c>
      <c r="D36" s="10" t="s">
        <v>376</v>
      </c>
      <c r="E36" s="18">
        <v>70</v>
      </c>
      <c r="F36" s="57" t="s">
        <v>429</v>
      </c>
      <c r="G36" s="18">
        <v>62</v>
      </c>
      <c r="H36" s="18">
        <v>76</v>
      </c>
      <c r="I36" s="18">
        <v>72</v>
      </c>
      <c r="J36" s="18">
        <v>98</v>
      </c>
      <c r="K36" s="18">
        <v>95</v>
      </c>
      <c r="L36" s="18">
        <v>91</v>
      </c>
      <c r="M36" s="18">
        <v>100</v>
      </c>
      <c r="N36" s="18">
        <v>100</v>
      </c>
      <c r="O36" s="26">
        <f t="shared" si="1"/>
        <v>84.888888888888886</v>
      </c>
    </row>
    <row r="37" spans="1:15" s="5" customFormat="1" ht="14.25" customHeight="1" x14ac:dyDescent="0.3">
      <c r="A37" s="21"/>
      <c r="B37" s="27"/>
      <c r="C37" s="2"/>
      <c r="D37" s="10"/>
      <c r="E37" s="30" t="str">
        <f>IF(E36&gt;=90,"A",IF(E36&gt;=80,"B",IF(E36&gt;=70,"C",IF(E36&gt;=60,"D","F"))))</f>
        <v>C</v>
      </c>
      <c r="F37" s="30" t="str">
        <f t="shared" ref="F37" si="136">IF(F36&gt;=90,"A",IF(F36&gt;=80,"B",IF(F36&gt;=70,"C",IF(F36&gt;=60,"D","F"))))</f>
        <v>A</v>
      </c>
      <c r="G37" s="30" t="str">
        <f t="shared" ref="G37" si="137">IF(G36&gt;=90,"A",IF(G36&gt;=80,"B",IF(G36&gt;=70,"C",IF(G36&gt;=60,"D","F"))))</f>
        <v>D</v>
      </c>
      <c r="H37" s="30" t="str">
        <f t="shared" ref="H37" si="138">IF(H36&gt;=90,"A",IF(H36&gt;=80,"B",IF(H36&gt;=70,"C",IF(H36&gt;=60,"D","F"))))</f>
        <v>C</v>
      </c>
      <c r="I37" s="30" t="str">
        <f t="shared" ref="I37" si="139">IF(I36&gt;=90,"A",IF(I36&gt;=80,"B",IF(I36&gt;=70,"C",IF(I36&gt;=60,"D","F"))))</f>
        <v>C</v>
      </c>
      <c r="J37" s="30" t="str">
        <f t="shared" ref="J37" si="140">IF(J36&gt;=90,"A",IF(J36&gt;=80,"B",IF(J36&gt;=70,"C",IF(J36&gt;=60,"D","F"))))</f>
        <v>A</v>
      </c>
      <c r="K37" s="30" t="str">
        <f t="shared" ref="K37" si="141">IF(K36&gt;=90,"A",IF(K36&gt;=80,"B",IF(K36&gt;=70,"C",IF(K36&gt;=60,"D","F"))))</f>
        <v>A</v>
      </c>
      <c r="L37" s="30" t="str">
        <f t="shared" ref="L37" si="142">IF(L36&gt;=90,"A",IF(L36&gt;=80,"B",IF(L36&gt;=70,"C",IF(L36&gt;=60,"D","F"))))</f>
        <v>A</v>
      </c>
      <c r="M37" s="30" t="str">
        <f t="shared" ref="M37" si="143">IF(M36&gt;=90,"A",IF(M36&gt;=80,"B",IF(M36&gt;=70,"C",IF(M36&gt;=60,"D","F"))))</f>
        <v>A</v>
      </c>
      <c r="N37" s="30" t="str">
        <f t="shared" ref="N37" si="144">IF(N36&gt;=90,"A",IF(N36&gt;=80,"B",IF(N36&gt;=70,"C",IF(N36&gt;=60,"D","F"))))</f>
        <v>A</v>
      </c>
      <c r="O37" s="26"/>
    </row>
    <row r="38" spans="1:15" s="5" customFormat="1" ht="14.25" customHeight="1" x14ac:dyDescent="0.3">
      <c r="A38" s="9">
        <v>18</v>
      </c>
      <c r="B38" s="27" t="s">
        <v>73</v>
      </c>
      <c r="C38" s="2" t="s">
        <v>848</v>
      </c>
      <c r="D38" s="10" t="s">
        <v>376</v>
      </c>
      <c r="E38" s="18">
        <v>82</v>
      </c>
      <c r="F38" s="18">
        <v>92</v>
      </c>
      <c r="G38" s="18">
        <v>92</v>
      </c>
      <c r="H38" s="18">
        <v>87</v>
      </c>
      <c r="I38" s="18">
        <v>90</v>
      </c>
      <c r="J38" s="18">
        <v>100</v>
      </c>
      <c r="K38" s="18">
        <v>99</v>
      </c>
      <c r="L38" s="18">
        <v>95</v>
      </c>
      <c r="M38" s="18">
        <v>100</v>
      </c>
      <c r="N38" s="18">
        <v>100</v>
      </c>
      <c r="O38" s="26">
        <f t="shared" si="1"/>
        <v>93.7</v>
      </c>
    </row>
    <row r="39" spans="1:15" s="5" customFormat="1" ht="14.25" customHeight="1" x14ac:dyDescent="0.3">
      <c r="A39" s="21"/>
      <c r="B39" s="27"/>
      <c r="C39" s="2"/>
      <c r="D39" s="10"/>
      <c r="E39" s="30" t="str">
        <f>IF(E38&gt;=90,"A",IF(E38&gt;=80,"B",IF(E38&gt;=70,"C",IF(E38&gt;=60,"D","F"))))</f>
        <v>B</v>
      </c>
      <c r="F39" s="30" t="str">
        <f t="shared" ref="F39" si="145">IF(F38&gt;=90,"A",IF(F38&gt;=80,"B",IF(F38&gt;=70,"C",IF(F38&gt;=60,"D","F"))))</f>
        <v>A</v>
      </c>
      <c r="G39" s="30" t="str">
        <f t="shared" ref="G39" si="146">IF(G38&gt;=90,"A",IF(G38&gt;=80,"B",IF(G38&gt;=70,"C",IF(G38&gt;=60,"D","F"))))</f>
        <v>A</v>
      </c>
      <c r="H39" s="30" t="str">
        <f t="shared" ref="H39" si="147">IF(H38&gt;=90,"A",IF(H38&gt;=80,"B",IF(H38&gt;=70,"C",IF(H38&gt;=60,"D","F"))))</f>
        <v>B</v>
      </c>
      <c r="I39" s="30" t="str">
        <f t="shared" ref="I39" si="148">IF(I38&gt;=90,"A",IF(I38&gt;=80,"B",IF(I38&gt;=70,"C",IF(I38&gt;=60,"D","F"))))</f>
        <v>A</v>
      </c>
      <c r="J39" s="30" t="str">
        <f t="shared" ref="J39" si="149">IF(J38&gt;=90,"A",IF(J38&gt;=80,"B",IF(J38&gt;=70,"C",IF(J38&gt;=60,"D","F"))))</f>
        <v>A</v>
      </c>
      <c r="K39" s="30" t="str">
        <f t="shared" ref="K39" si="150">IF(K38&gt;=90,"A",IF(K38&gt;=80,"B",IF(K38&gt;=70,"C",IF(K38&gt;=60,"D","F"))))</f>
        <v>A</v>
      </c>
      <c r="L39" s="30" t="str">
        <f t="shared" ref="L39" si="151">IF(L38&gt;=90,"A",IF(L38&gt;=80,"B",IF(L38&gt;=70,"C",IF(L38&gt;=60,"D","F"))))</f>
        <v>A</v>
      </c>
      <c r="M39" s="30" t="str">
        <f t="shared" ref="M39" si="152">IF(M38&gt;=90,"A",IF(M38&gt;=80,"B",IF(M38&gt;=70,"C",IF(M38&gt;=60,"D","F"))))</f>
        <v>A</v>
      </c>
      <c r="N39" s="30" t="str">
        <f t="shared" ref="N39" si="153">IF(N38&gt;=90,"A",IF(N38&gt;=80,"B",IF(N38&gt;=70,"C",IF(N38&gt;=60,"D","F"))))</f>
        <v>A</v>
      </c>
      <c r="O39" s="26"/>
    </row>
    <row r="40" spans="1:15" s="5" customFormat="1" ht="14.25" customHeight="1" x14ac:dyDescent="0.3">
      <c r="A40" s="9">
        <v>19</v>
      </c>
      <c r="B40" s="27" t="s">
        <v>50</v>
      </c>
      <c r="C40" s="2" t="s">
        <v>849</v>
      </c>
      <c r="D40" s="10" t="s">
        <v>376</v>
      </c>
      <c r="E40" s="18">
        <v>84</v>
      </c>
      <c r="F40" s="18">
        <v>92</v>
      </c>
      <c r="G40" s="18">
        <v>74</v>
      </c>
      <c r="H40" s="18">
        <v>75</v>
      </c>
      <c r="I40" s="18">
        <v>74</v>
      </c>
      <c r="J40" s="18">
        <v>100</v>
      </c>
      <c r="K40" s="18">
        <v>98</v>
      </c>
      <c r="L40" s="18">
        <v>95</v>
      </c>
      <c r="M40" s="18">
        <v>93</v>
      </c>
      <c r="N40" s="18">
        <v>100</v>
      </c>
      <c r="O40" s="26">
        <f t="shared" si="1"/>
        <v>88.5</v>
      </c>
    </row>
    <row r="41" spans="1:15" s="5" customFormat="1" ht="14.25" customHeight="1" x14ac:dyDescent="0.3">
      <c r="A41" s="21"/>
      <c r="B41" s="27"/>
      <c r="C41" s="2"/>
      <c r="D41" s="10"/>
      <c r="E41" s="30" t="str">
        <f>IF(E40&gt;=90,"A",IF(E40&gt;=80,"B",IF(E40&gt;=70,"C",IF(E40&gt;=60,"D","F"))))</f>
        <v>B</v>
      </c>
      <c r="F41" s="30" t="str">
        <f t="shared" ref="F41" si="154">IF(F40&gt;=90,"A",IF(F40&gt;=80,"B",IF(F40&gt;=70,"C",IF(F40&gt;=60,"D","F"))))</f>
        <v>A</v>
      </c>
      <c r="G41" s="30" t="str">
        <f t="shared" ref="G41" si="155">IF(G40&gt;=90,"A",IF(G40&gt;=80,"B",IF(G40&gt;=70,"C",IF(G40&gt;=60,"D","F"))))</f>
        <v>C</v>
      </c>
      <c r="H41" s="30" t="str">
        <f t="shared" ref="H41" si="156">IF(H40&gt;=90,"A",IF(H40&gt;=80,"B",IF(H40&gt;=70,"C",IF(H40&gt;=60,"D","F"))))</f>
        <v>C</v>
      </c>
      <c r="I41" s="30" t="str">
        <f t="shared" ref="I41" si="157">IF(I40&gt;=90,"A",IF(I40&gt;=80,"B",IF(I40&gt;=70,"C",IF(I40&gt;=60,"D","F"))))</f>
        <v>C</v>
      </c>
      <c r="J41" s="30" t="str">
        <f t="shared" ref="J41" si="158">IF(J40&gt;=90,"A",IF(J40&gt;=80,"B",IF(J40&gt;=70,"C",IF(J40&gt;=60,"D","F"))))</f>
        <v>A</v>
      </c>
      <c r="K41" s="30" t="str">
        <f t="shared" ref="K41" si="159">IF(K40&gt;=90,"A",IF(K40&gt;=80,"B",IF(K40&gt;=70,"C",IF(K40&gt;=60,"D","F"))))</f>
        <v>A</v>
      </c>
      <c r="L41" s="30" t="str">
        <f t="shared" ref="L41" si="160">IF(L40&gt;=90,"A",IF(L40&gt;=80,"B",IF(L40&gt;=70,"C",IF(L40&gt;=60,"D","F"))))</f>
        <v>A</v>
      </c>
      <c r="M41" s="30" t="str">
        <f t="shared" ref="M41" si="161">IF(M40&gt;=90,"A",IF(M40&gt;=80,"B",IF(M40&gt;=70,"C",IF(M40&gt;=60,"D","F"))))</f>
        <v>A</v>
      </c>
      <c r="N41" s="30" t="str">
        <f t="shared" ref="N41" si="162">IF(N40&gt;=90,"A",IF(N40&gt;=80,"B",IF(N40&gt;=70,"C",IF(N40&gt;=60,"D","F"))))</f>
        <v>A</v>
      </c>
      <c r="O41" s="26"/>
    </row>
    <row r="42" spans="1:15" s="5" customFormat="1" ht="14.25" customHeight="1" x14ac:dyDescent="0.3">
      <c r="A42" s="9">
        <v>20</v>
      </c>
      <c r="B42" s="27" t="s">
        <v>74</v>
      </c>
      <c r="C42" s="2" t="s">
        <v>850</v>
      </c>
      <c r="D42" s="10" t="s">
        <v>376</v>
      </c>
      <c r="E42" s="18">
        <v>72</v>
      </c>
      <c r="F42" s="18">
        <v>87</v>
      </c>
      <c r="G42" s="18">
        <v>71</v>
      </c>
      <c r="H42" s="18">
        <v>65</v>
      </c>
      <c r="I42" s="18">
        <v>76</v>
      </c>
      <c r="J42" s="18">
        <v>94</v>
      </c>
      <c r="K42" s="18">
        <v>98</v>
      </c>
      <c r="L42" s="18">
        <v>92</v>
      </c>
      <c r="M42" s="18">
        <v>100</v>
      </c>
      <c r="N42" s="18">
        <v>97</v>
      </c>
      <c r="O42" s="26">
        <f t="shared" si="1"/>
        <v>85.2</v>
      </c>
    </row>
    <row r="43" spans="1:15" s="5" customFormat="1" ht="14.25" customHeight="1" x14ac:dyDescent="0.3">
      <c r="A43" s="21"/>
      <c r="B43" s="27"/>
      <c r="C43" s="2"/>
      <c r="D43" s="10"/>
      <c r="E43" s="30" t="str">
        <f>IF(E42&gt;=90,"A",IF(E42&gt;=80,"B",IF(E42&gt;=70,"C",IF(E42&gt;=60,"D","F"))))</f>
        <v>C</v>
      </c>
      <c r="F43" s="30" t="str">
        <f t="shared" ref="F43" si="163">IF(F42&gt;=90,"A",IF(F42&gt;=80,"B",IF(F42&gt;=70,"C",IF(F42&gt;=60,"D","F"))))</f>
        <v>B</v>
      </c>
      <c r="G43" s="30" t="str">
        <f t="shared" ref="G43" si="164">IF(G42&gt;=90,"A",IF(G42&gt;=80,"B",IF(G42&gt;=70,"C",IF(G42&gt;=60,"D","F"))))</f>
        <v>C</v>
      </c>
      <c r="H43" s="30" t="str">
        <f t="shared" ref="H43" si="165">IF(H42&gt;=90,"A",IF(H42&gt;=80,"B",IF(H42&gt;=70,"C",IF(H42&gt;=60,"D","F"))))</f>
        <v>D</v>
      </c>
      <c r="I43" s="30" t="str">
        <f t="shared" ref="I43" si="166">IF(I42&gt;=90,"A",IF(I42&gt;=80,"B",IF(I42&gt;=70,"C",IF(I42&gt;=60,"D","F"))))</f>
        <v>C</v>
      </c>
      <c r="J43" s="30" t="str">
        <f t="shared" ref="J43" si="167">IF(J42&gt;=90,"A",IF(J42&gt;=80,"B",IF(J42&gt;=70,"C",IF(J42&gt;=60,"D","F"))))</f>
        <v>A</v>
      </c>
      <c r="K43" s="30" t="str">
        <f t="shared" ref="K43" si="168">IF(K42&gt;=90,"A",IF(K42&gt;=80,"B",IF(K42&gt;=70,"C",IF(K42&gt;=60,"D","F"))))</f>
        <v>A</v>
      </c>
      <c r="L43" s="30" t="str">
        <f t="shared" ref="L43" si="169">IF(L42&gt;=90,"A",IF(L42&gt;=80,"B",IF(L42&gt;=70,"C",IF(L42&gt;=60,"D","F"))))</f>
        <v>A</v>
      </c>
      <c r="M43" s="30" t="str">
        <f t="shared" ref="M43" si="170">IF(M42&gt;=90,"A",IF(M42&gt;=80,"B",IF(M42&gt;=70,"C",IF(M42&gt;=60,"D","F"))))</f>
        <v>A</v>
      </c>
      <c r="N43" s="30" t="str">
        <f t="shared" ref="N43" si="171">IF(N42&gt;=90,"A",IF(N42&gt;=80,"B",IF(N42&gt;=70,"C",IF(N42&gt;=60,"D","F"))))</f>
        <v>A</v>
      </c>
      <c r="O43" s="26"/>
    </row>
    <row r="44" spans="1:15" s="5" customFormat="1" ht="14.25" customHeight="1" x14ac:dyDescent="0.3">
      <c r="A44" s="9">
        <v>21</v>
      </c>
      <c r="B44" s="6" t="s">
        <v>374</v>
      </c>
      <c r="C44" s="2" t="s">
        <v>851</v>
      </c>
      <c r="D44" s="10" t="s">
        <v>376</v>
      </c>
      <c r="E44" s="18">
        <v>93</v>
      </c>
      <c r="F44" s="57" t="s">
        <v>429</v>
      </c>
      <c r="G44" s="18">
        <v>93</v>
      </c>
      <c r="H44" s="18">
        <v>88</v>
      </c>
      <c r="I44" s="18">
        <v>95</v>
      </c>
      <c r="J44" s="18">
        <v>100</v>
      </c>
      <c r="K44" s="18">
        <v>97</v>
      </c>
      <c r="L44" s="18">
        <v>100</v>
      </c>
      <c r="M44" s="18">
        <v>99</v>
      </c>
      <c r="N44" s="18">
        <v>100</v>
      </c>
      <c r="O44" s="26">
        <f t="shared" si="1"/>
        <v>96.111111111111114</v>
      </c>
    </row>
    <row r="45" spans="1:15" s="5" customFormat="1" ht="14.25" customHeight="1" x14ac:dyDescent="0.3">
      <c r="A45" s="21"/>
      <c r="B45" s="6"/>
      <c r="C45" s="2"/>
      <c r="D45" s="10"/>
      <c r="E45" s="30" t="str">
        <f>IF(E44&gt;=90,"A",IF(E44&gt;=80,"B",IF(E44&gt;=70,"C",IF(E44&gt;=60,"D","F"))))</f>
        <v>A</v>
      </c>
      <c r="F45" s="30" t="str">
        <f t="shared" ref="F45" si="172">IF(F44&gt;=90,"A",IF(F44&gt;=80,"B",IF(F44&gt;=70,"C",IF(F44&gt;=60,"D","F"))))</f>
        <v>A</v>
      </c>
      <c r="G45" s="30" t="str">
        <f t="shared" ref="G45" si="173">IF(G44&gt;=90,"A",IF(G44&gt;=80,"B",IF(G44&gt;=70,"C",IF(G44&gt;=60,"D","F"))))</f>
        <v>A</v>
      </c>
      <c r="H45" s="30" t="str">
        <f t="shared" ref="H45" si="174">IF(H44&gt;=90,"A",IF(H44&gt;=80,"B",IF(H44&gt;=70,"C",IF(H44&gt;=60,"D","F"))))</f>
        <v>B</v>
      </c>
      <c r="I45" s="30" t="str">
        <f t="shared" ref="I45" si="175">IF(I44&gt;=90,"A",IF(I44&gt;=80,"B",IF(I44&gt;=70,"C",IF(I44&gt;=60,"D","F"))))</f>
        <v>A</v>
      </c>
      <c r="J45" s="30" t="str">
        <f t="shared" ref="J45" si="176">IF(J44&gt;=90,"A",IF(J44&gt;=80,"B",IF(J44&gt;=70,"C",IF(J44&gt;=60,"D","F"))))</f>
        <v>A</v>
      </c>
      <c r="K45" s="30" t="str">
        <f t="shared" ref="K45" si="177">IF(K44&gt;=90,"A",IF(K44&gt;=80,"B",IF(K44&gt;=70,"C",IF(K44&gt;=60,"D","F"))))</f>
        <v>A</v>
      </c>
      <c r="L45" s="30" t="str">
        <f t="shared" ref="L45" si="178">IF(L44&gt;=90,"A",IF(L44&gt;=80,"B",IF(L44&gt;=70,"C",IF(L44&gt;=60,"D","F"))))</f>
        <v>A</v>
      </c>
      <c r="M45" s="30" t="str">
        <f t="shared" ref="M45" si="179">IF(M44&gt;=90,"A",IF(M44&gt;=80,"B",IF(M44&gt;=70,"C",IF(M44&gt;=60,"D","F"))))</f>
        <v>A</v>
      </c>
      <c r="N45" s="30" t="str">
        <f t="shared" ref="N45" si="180">IF(N44&gt;=90,"A",IF(N44&gt;=80,"B",IF(N44&gt;=70,"C",IF(N44&gt;=60,"D","F"))))</f>
        <v>A</v>
      </c>
      <c r="O45" s="26"/>
    </row>
    <row r="46" spans="1:15" s="5" customFormat="1" ht="14.25" customHeight="1" x14ac:dyDescent="0.3">
      <c r="A46" s="9">
        <v>22</v>
      </c>
      <c r="B46" s="27" t="s">
        <v>75</v>
      </c>
      <c r="C46" s="2" t="s">
        <v>852</v>
      </c>
      <c r="D46" s="10" t="s">
        <v>376</v>
      </c>
      <c r="E46" s="18">
        <v>82</v>
      </c>
      <c r="F46" s="18">
        <v>90</v>
      </c>
      <c r="G46" s="18">
        <v>89</v>
      </c>
      <c r="H46" s="18">
        <v>84</v>
      </c>
      <c r="I46" s="18">
        <v>89</v>
      </c>
      <c r="J46" s="18">
        <v>97</v>
      </c>
      <c r="K46" s="18">
        <v>98</v>
      </c>
      <c r="L46" s="18">
        <v>92</v>
      </c>
      <c r="M46" s="18">
        <v>100</v>
      </c>
      <c r="N46" s="18">
        <v>98</v>
      </c>
      <c r="O46" s="26">
        <f t="shared" si="1"/>
        <v>91.9</v>
      </c>
    </row>
    <row r="47" spans="1:15" s="5" customFormat="1" ht="14.25" customHeight="1" x14ac:dyDescent="0.3">
      <c r="A47" s="21"/>
      <c r="B47" s="27"/>
      <c r="C47" s="2"/>
      <c r="D47" s="10"/>
      <c r="E47" s="30" t="str">
        <f>IF(E46&gt;=90,"A",IF(E46&gt;=80,"B",IF(E46&gt;=70,"C",IF(E46&gt;=60,"D","F"))))</f>
        <v>B</v>
      </c>
      <c r="F47" s="30" t="str">
        <f t="shared" ref="F47" si="181">IF(F46&gt;=90,"A",IF(F46&gt;=80,"B",IF(F46&gt;=70,"C",IF(F46&gt;=60,"D","F"))))</f>
        <v>A</v>
      </c>
      <c r="G47" s="30" t="str">
        <f t="shared" ref="G47" si="182">IF(G46&gt;=90,"A",IF(G46&gt;=80,"B",IF(G46&gt;=70,"C",IF(G46&gt;=60,"D","F"))))</f>
        <v>B</v>
      </c>
      <c r="H47" s="30" t="str">
        <f t="shared" ref="H47" si="183">IF(H46&gt;=90,"A",IF(H46&gt;=80,"B",IF(H46&gt;=70,"C",IF(H46&gt;=60,"D","F"))))</f>
        <v>B</v>
      </c>
      <c r="I47" s="30" t="str">
        <f t="shared" ref="I47" si="184">IF(I46&gt;=90,"A",IF(I46&gt;=80,"B",IF(I46&gt;=70,"C",IF(I46&gt;=60,"D","F"))))</f>
        <v>B</v>
      </c>
      <c r="J47" s="30" t="str">
        <f t="shared" ref="J47" si="185">IF(J46&gt;=90,"A",IF(J46&gt;=80,"B",IF(J46&gt;=70,"C",IF(J46&gt;=60,"D","F"))))</f>
        <v>A</v>
      </c>
      <c r="K47" s="30" t="str">
        <f t="shared" ref="K47" si="186">IF(K46&gt;=90,"A",IF(K46&gt;=80,"B",IF(K46&gt;=70,"C",IF(K46&gt;=60,"D","F"))))</f>
        <v>A</v>
      </c>
      <c r="L47" s="30" t="str">
        <f t="shared" ref="L47" si="187">IF(L46&gt;=90,"A",IF(L46&gt;=80,"B",IF(L46&gt;=70,"C",IF(L46&gt;=60,"D","F"))))</f>
        <v>A</v>
      </c>
      <c r="M47" s="30" t="str">
        <f t="shared" ref="M47" si="188">IF(M46&gt;=90,"A",IF(M46&gt;=80,"B",IF(M46&gt;=70,"C",IF(M46&gt;=60,"D","F"))))</f>
        <v>A</v>
      </c>
      <c r="N47" s="30" t="str">
        <f t="shared" ref="N47" si="189">IF(N46&gt;=90,"A",IF(N46&gt;=80,"B",IF(N46&gt;=70,"C",IF(N46&gt;=60,"D","F"))))</f>
        <v>A</v>
      </c>
      <c r="O47" s="26"/>
    </row>
    <row r="48" spans="1:15" s="5" customFormat="1" ht="14.25" customHeight="1" x14ac:dyDescent="0.3">
      <c r="A48" s="9">
        <v>23</v>
      </c>
      <c r="B48" s="27" t="s">
        <v>76</v>
      </c>
      <c r="C48" s="2" t="s">
        <v>853</v>
      </c>
      <c r="D48" s="10" t="s">
        <v>376</v>
      </c>
      <c r="E48" s="18">
        <v>61</v>
      </c>
      <c r="F48" s="18">
        <v>46</v>
      </c>
      <c r="G48" s="18">
        <v>59</v>
      </c>
      <c r="H48" s="18">
        <v>64</v>
      </c>
      <c r="I48" s="18">
        <v>66</v>
      </c>
      <c r="J48" s="18">
        <v>92</v>
      </c>
      <c r="K48" s="18">
        <v>97</v>
      </c>
      <c r="L48" s="18">
        <v>90</v>
      </c>
      <c r="M48" s="18">
        <v>100</v>
      </c>
      <c r="N48" s="18">
        <v>100</v>
      </c>
      <c r="O48" s="26">
        <f t="shared" si="1"/>
        <v>77.5</v>
      </c>
    </row>
    <row r="49" spans="1:15" s="5" customFormat="1" ht="14.25" customHeight="1" x14ac:dyDescent="0.3">
      <c r="A49" s="21"/>
      <c r="B49" s="27"/>
      <c r="C49" s="2"/>
      <c r="D49" s="10"/>
      <c r="E49" s="30" t="str">
        <f>IF(E48&gt;=90,"A",IF(E48&gt;=80,"B",IF(E48&gt;=70,"C",IF(E48&gt;=60,"D","F"))))</f>
        <v>D</v>
      </c>
      <c r="F49" s="30" t="str">
        <f t="shared" ref="F49" si="190">IF(F48&gt;=90,"A",IF(F48&gt;=80,"B",IF(F48&gt;=70,"C",IF(F48&gt;=60,"D","F"))))</f>
        <v>F</v>
      </c>
      <c r="G49" s="30" t="str">
        <f t="shared" ref="G49" si="191">IF(G48&gt;=90,"A",IF(G48&gt;=80,"B",IF(G48&gt;=70,"C",IF(G48&gt;=60,"D","F"))))</f>
        <v>F</v>
      </c>
      <c r="H49" s="30" t="str">
        <f t="shared" ref="H49" si="192">IF(H48&gt;=90,"A",IF(H48&gt;=80,"B",IF(H48&gt;=70,"C",IF(H48&gt;=60,"D","F"))))</f>
        <v>D</v>
      </c>
      <c r="I49" s="30" t="str">
        <f t="shared" ref="I49" si="193">IF(I48&gt;=90,"A",IF(I48&gt;=80,"B",IF(I48&gt;=70,"C",IF(I48&gt;=60,"D","F"))))</f>
        <v>D</v>
      </c>
      <c r="J49" s="30" t="str">
        <f t="shared" ref="J49" si="194">IF(J48&gt;=90,"A",IF(J48&gt;=80,"B",IF(J48&gt;=70,"C",IF(J48&gt;=60,"D","F"))))</f>
        <v>A</v>
      </c>
      <c r="K49" s="30" t="str">
        <f t="shared" ref="K49" si="195">IF(K48&gt;=90,"A",IF(K48&gt;=80,"B",IF(K48&gt;=70,"C",IF(K48&gt;=60,"D","F"))))</f>
        <v>A</v>
      </c>
      <c r="L49" s="30" t="str">
        <f t="shared" ref="L49" si="196">IF(L48&gt;=90,"A",IF(L48&gt;=80,"B",IF(L48&gt;=70,"C",IF(L48&gt;=60,"D","F"))))</f>
        <v>A</v>
      </c>
      <c r="M49" s="30" t="str">
        <f t="shared" ref="M49" si="197">IF(M48&gt;=90,"A",IF(M48&gt;=80,"B",IF(M48&gt;=70,"C",IF(M48&gt;=60,"D","F"))))</f>
        <v>A</v>
      </c>
      <c r="N49" s="30" t="str">
        <f t="shared" ref="N49" si="198">IF(N48&gt;=90,"A",IF(N48&gt;=80,"B",IF(N48&gt;=70,"C",IF(N48&gt;=60,"D","F"))))</f>
        <v>A</v>
      </c>
      <c r="O49" s="26"/>
    </row>
    <row r="50" spans="1:15" s="5" customFormat="1" ht="14.25" customHeight="1" x14ac:dyDescent="0.3">
      <c r="A50" s="9">
        <v>24</v>
      </c>
      <c r="B50" s="27" t="s">
        <v>77</v>
      </c>
      <c r="C50" s="2" t="s">
        <v>854</v>
      </c>
      <c r="D50" s="10" t="s">
        <v>376</v>
      </c>
      <c r="E50" s="18">
        <v>93</v>
      </c>
      <c r="F50" s="18">
        <v>93</v>
      </c>
      <c r="G50" s="18">
        <v>95</v>
      </c>
      <c r="H50" s="18">
        <v>97</v>
      </c>
      <c r="I50" s="18">
        <v>96</v>
      </c>
      <c r="J50" s="18">
        <v>96</v>
      </c>
      <c r="K50" s="18">
        <v>99</v>
      </c>
      <c r="L50" s="18">
        <v>96</v>
      </c>
      <c r="M50" s="18">
        <v>97</v>
      </c>
      <c r="N50" s="18">
        <v>100</v>
      </c>
      <c r="O50" s="26">
        <f t="shared" si="1"/>
        <v>96.2</v>
      </c>
    </row>
    <row r="51" spans="1:15" s="5" customFormat="1" ht="14.25" customHeight="1" x14ac:dyDescent="0.3">
      <c r="A51" s="21"/>
      <c r="B51" s="27"/>
      <c r="C51" s="2"/>
      <c r="D51" s="10"/>
      <c r="E51" s="30" t="str">
        <f>IF(E50&gt;=90,"A",IF(E50&gt;=80,"B",IF(E50&gt;=70,"C",IF(E50&gt;=60,"D","F"))))</f>
        <v>A</v>
      </c>
      <c r="F51" s="30" t="str">
        <f t="shared" ref="F51" si="199">IF(F50&gt;=90,"A",IF(F50&gt;=80,"B",IF(F50&gt;=70,"C",IF(F50&gt;=60,"D","F"))))</f>
        <v>A</v>
      </c>
      <c r="G51" s="30" t="str">
        <f t="shared" ref="G51" si="200">IF(G50&gt;=90,"A",IF(G50&gt;=80,"B",IF(G50&gt;=70,"C",IF(G50&gt;=60,"D","F"))))</f>
        <v>A</v>
      </c>
      <c r="H51" s="30" t="str">
        <f t="shared" ref="H51" si="201">IF(H50&gt;=90,"A",IF(H50&gt;=80,"B",IF(H50&gt;=70,"C",IF(H50&gt;=60,"D","F"))))</f>
        <v>A</v>
      </c>
      <c r="I51" s="30" t="str">
        <f t="shared" ref="I51" si="202">IF(I50&gt;=90,"A",IF(I50&gt;=80,"B",IF(I50&gt;=70,"C",IF(I50&gt;=60,"D","F"))))</f>
        <v>A</v>
      </c>
      <c r="J51" s="30" t="str">
        <f t="shared" ref="J51" si="203">IF(J50&gt;=90,"A",IF(J50&gt;=80,"B",IF(J50&gt;=70,"C",IF(J50&gt;=60,"D","F"))))</f>
        <v>A</v>
      </c>
      <c r="K51" s="30" t="str">
        <f t="shared" ref="K51" si="204">IF(K50&gt;=90,"A",IF(K50&gt;=80,"B",IF(K50&gt;=70,"C",IF(K50&gt;=60,"D","F"))))</f>
        <v>A</v>
      </c>
      <c r="L51" s="30" t="str">
        <f t="shared" ref="L51" si="205">IF(L50&gt;=90,"A",IF(L50&gt;=80,"B",IF(L50&gt;=70,"C",IF(L50&gt;=60,"D","F"))))</f>
        <v>A</v>
      </c>
      <c r="M51" s="30" t="str">
        <f t="shared" ref="M51" si="206">IF(M50&gt;=90,"A",IF(M50&gt;=80,"B",IF(M50&gt;=70,"C",IF(M50&gt;=60,"D","F"))))</f>
        <v>A</v>
      </c>
      <c r="N51" s="30" t="str">
        <f t="shared" ref="N51" si="207">IF(N50&gt;=90,"A",IF(N50&gt;=80,"B",IF(N50&gt;=70,"C",IF(N50&gt;=60,"D","F"))))</f>
        <v>A</v>
      </c>
      <c r="O51" s="26"/>
    </row>
    <row r="52" spans="1:15" s="5" customFormat="1" ht="14.25" customHeight="1" x14ac:dyDescent="0.3">
      <c r="A52" s="9">
        <v>25</v>
      </c>
      <c r="B52" s="27" t="s">
        <v>78</v>
      </c>
      <c r="C52" s="2" t="s">
        <v>855</v>
      </c>
      <c r="D52" s="10" t="s">
        <v>376</v>
      </c>
      <c r="E52" s="18">
        <v>77</v>
      </c>
      <c r="F52" s="18">
        <v>93</v>
      </c>
      <c r="G52" s="18">
        <v>83</v>
      </c>
      <c r="H52" s="18">
        <v>81</v>
      </c>
      <c r="I52" s="18">
        <v>90</v>
      </c>
      <c r="J52" s="18">
        <v>99</v>
      </c>
      <c r="K52" s="18">
        <v>100</v>
      </c>
      <c r="L52" s="18">
        <v>90</v>
      </c>
      <c r="M52" s="18">
        <v>99</v>
      </c>
      <c r="N52" s="18">
        <v>98</v>
      </c>
      <c r="O52" s="26">
        <f t="shared" si="1"/>
        <v>91</v>
      </c>
    </row>
    <row r="53" spans="1:15" s="5" customFormat="1" ht="14.25" customHeight="1" x14ac:dyDescent="0.3">
      <c r="A53" s="21"/>
      <c r="B53" s="27"/>
      <c r="C53" s="2"/>
      <c r="D53" s="10"/>
      <c r="E53" s="30" t="str">
        <f>IF(E52&gt;=90,"A",IF(E52&gt;=80,"B",IF(E52&gt;=70,"C",IF(E52&gt;=60,"D","F"))))</f>
        <v>C</v>
      </c>
      <c r="F53" s="30" t="str">
        <f t="shared" ref="F53" si="208">IF(F52&gt;=90,"A",IF(F52&gt;=80,"B",IF(F52&gt;=70,"C",IF(F52&gt;=60,"D","F"))))</f>
        <v>A</v>
      </c>
      <c r="G53" s="30" t="str">
        <f t="shared" ref="G53" si="209">IF(G52&gt;=90,"A",IF(G52&gt;=80,"B",IF(G52&gt;=70,"C",IF(G52&gt;=60,"D","F"))))</f>
        <v>B</v>
      </c>
      <c r="H53" s="30" t="str">
        <f t="shared" ref="H53" si="210">IF(H52&gt;=90,"A",IF(H52&gt;=80,"B",IF(H52&gt;=70,"C",IF(H52&gt;=60,"D","F"))))</f>
        <v>B</v>
      </c>
      <c r="I53" s="30" t="str">
        <f t="shared" ref="I53" si="211">IF(I52&gt;=90,"A",IF(I52&gt;=80,"B",IF(I52&gt;=70,"C",IF(I52&gt;=60,"D","F"))))</f>
        <v>A</v>
      </c>
      <c r="J53" s="30" t="str">
        <f t="shared" ref="J53" si="212">IF(J52&gt;=90,"A",IF(J52&gt;=80,"B",IF(J52&gt;=70,"C",IF(J52&gt;=60,"D","F"))))</f>
        <v>A</v>
      </c>
      <c r="K53" s="30" t="str">
        <f t="shared" ref="K53" si="213">IF(K52&gt;=90,"A",IF(K52&gt;=80,"B",IF(K52&gt;=70,"C",IF(K52&gt;=60,"D","F"))))</f>
        <v>A</v>
      </c>
      <c r="L53" s="30" t="str">
        <f t="shared" ref="L53" si="214">IF(L52&gt;=90,"A",IF(L52&gt;=80,"B",IF(L52&gt;=70,"C",IF(L52&gt;=60,"D","F"))))</f>
        <v>A</v>
      </c>
      <c r="M53" s="30" t="str">
        <f t="shared" ref="M53" si="215">IF(M52&gt;=90,"A",IF(M52&gt;=80,"B",IF(M52&gt;=70,"C",IF(M52&gt;=60,"D","F"))))</f>
        <v>A</v>
      </c>
      <c r="N53" s="30" t="str">
        <f t="shared" ref="N53" si="216">IF(N52&gt;=90,"A",IF(N52&gt;=80,"B",IF(N52&gt;=70,"C",IF(N52&gt;=60,"D","F"))))</f>
        <v>A</v>
      </c>
      <c r="O53" s="26"/>
    </row>
    <row r="54" spans="1:15" s="5" customFormat="1" ht="14.25" customHeight="1" x14ac:dyDescent="0.3">
      <c r="A54" s="9">
        <v>26</v>
      </c>
      <c r="B54" s="27" t="s">
        <v>79</v>
      </c>
      <c r="C54" s="2" t="s">
        <v>856</v>
      </c>
      <c r="D54" s="10" t="s">
        <v>376</v>
      </c>
      <c r="E54" s="18">
        <v>92</v>
      </c>
      <c r="F54" s="18">
        <v>95</v>
      </c>
      <c r="G54" s="18">
        <v>98</v>
      </c>
      <c r="H54" s="18">
        <v>96</v>
      </c>
      <c r="I54" s="18">
        <v>93</v>
      </c>
      <c r="J54" s="18">
        <v>100</v>
      </c>
      <c r="K54" s="18">
        <v>99</v>
      </c>
      <c r="L54" s="18">
        <v>100</v>
      </c>
      <c r="M54" s="18">
        <v>100</v>
      </c>
      <c r="N54" s="18">
        <v>98</v>
      </c>
      <c r="O54" s="26">
        <f t="shared" si="1"/>
        <v>97.1</v>
      </c>
    </row>
    <row r="55" spans="1:15" s="5" customFormat="1" ht="14.25" customHeight="1" x14ac:dyDescent="0.3">
      <c r="A55" s="21"/>
      <c r="B55" s="27"/>
      <c r="C55" s="2"/>
      <c r="D55" s="10"/>
      <c r="E55" s="30" t="str">
        <f>IF(E54&gt;=90,"A",IF(E54&gt;=80,"B",IF(E54&gt;=70,"C",IF(E54&gt;=60,"D","F"))))</f>
        <v>A</v>
      </c>
      <c r="F55" s="30" t="str">
        <f t="shared" ref="F55" si="217">IF(F54&gt;=90,"A",IF(F54&gt;=80,"B",IF(F54&gt;=70,"C",IF(F54&gt;=60,"D","F"))))</f>
        <v>A</v>
      </c>
      <c r="G55" s="30" t="str">
        <f t="shared" ref="G55" si="218">IF(G54&gt;=90,"A",IF(G54&gt;=80,"B",IF(G54&gt;=70,"C",IF(G54&gt;=60,"D","F"))))</f>
        <v>A</v>
      </c>
      <c r="H55" s="30" t="str">
        <f t="shared" ref="H55" si="219">IF(H54&gt;=90,"A",IF(H54&gt;=80,"B",IF(H54&gt;=70,"C",IF(H54&gt;=60,"D","F"))))</f>
        <v>A</v>
      </c>
      <c r="I55" s="30" t="str">
        <f t="shared" ref="I55" si="220">IF(I54&gt;=90,"A",IF(I54&gt;=80,"B",IF(I54&gt;=70,"C",IF(I54&gt;=60,"D","F"))))</f>
        <v>A</v>
      </c>
      <c r="J55" s="30" t="str">
        <f t="shared" ref="J55" si="221">IF(J54&gt;=90,"A",IF(J54&gt;=80,"B",IF(J54&gt;=70,"C",IF(J54&gt;=60,"D","F"))))</f>
        <v>A</v>
      </c>
      <c r="K55" s="30" t="str">
        <f t="shared" ref="K55" si="222">IF(K54&gt;=90,"A",IF(K54&gt;=80,"B",IF(K54&gt;=70,"C",IF(K54&gt;=60,"D","F"))))</f>
        <v>A</v>
      </c>
      <c r="L55" s="30" t="str">
        <f t="shared" ref="L55" si="223">IF(L54&gt;=90,"A",IF(L54&gt;=80,"B",IF(L54&gt;=70,"C",IF(L54&gt;=60,"D","F"))))</f>
        <v>A</v>
      </c>
      <c r="M55" s="30" t="str">
        <f t="shared" ref="M55" si="224">IF(M54&gt;=90,"A",IF(M54&gt;=80,"B",IF(M54&gt;=70,"C",IF(M54&gt;=60,"D","F"))))</f>
        <v>A</v>
      </c>
      <c r="N55" s="30" t="str">
        <f t="shared" ref="N55" si="225">IF(N54&gt;=90,"A",IF(N54&gt;=80,"B",IF(N54&gt;=70,"C",IF(N54&gt;=60,"D","F"))))</f>
        <v>A</v>
      </c>
      <c r="O55" s="26"/>
    </row>
    <row r="56" spans="1:15" s="5" customFormat="1" ht="14.25" customHeight="1" x14ac:dyDescent="0.3">
      <c r="A56" s="9">
        <v>27</v>
      </c>
      <c r="B56" s="27" t="s">
        <v>80</v>
      </c>
      <c r="C56" s="2" t="s">
        <v>857</v>
      </c>
      <c r="D56" s="10" t="s">
        <v>376</v>
      </c>
      <c r="E56" s="18">
        <v>82</v>
      </c>
      <c r="F56" s="18">
        <v>88</v>
      </c>
      <c r="G56" s="18">
        <v>88</v>
      </c>
      <c r="H56" s="18">
        <v>91</v>
      </c>
      <c r="I56" s="18">
        <v>91</v>
      </c>
      <c r="J56" s="18">
        <v>100</v>
      </c>
      <c r="K56" s="18">
        <v>99</v>
      </c>
      <c r="L56" s="18">
        <v>98</v>
      </c>
      <c r="M56" s="18">
        <v>100</v>
      </c>
      <c r="N56" s="18">
        <v>98</v>
      </c>
      <c r="O56" s="26">
        <f t="shared" si="1"/>
        <v>93.5</v>
      </c>
    </row>
    <row r="57" spans="1:15" ht="14.25" customHeight="1" x14ac:dyDescent="0.3">
      <c r="A57" s="25"/>
      <c r="B57" s="20"/>
      <c r="C57" s="20"/>
      <c r="D57" s="6"/>
      <c r="E57" s="30" t="str">
        <f>IF(E56&gt;=90,"A",IF(E56&gt;=80,"B",IF(E56&gt;=70,"C",IF(E56&gt;=60,"D","F"))))</f>
        <v>B</v>
      </c>
      <c r="F57" s="30" t="str">
        <f t="shared" ref="F57" si="226">IF(F56&gt;=90,"A",IF(F56&gt;=80,"B",IF(F56&gt;=70,"C",IF(F56&gt;=60,"D","F"))))</f>
        <v>B</v>
      </c>
      <c r="G57" s="30" t="str">
        <f t="shared" ref="G57" si="227">IF(G56&gt;=90,"A",IF(G56&gt;=80,"B",IF(G56&gt;=70,"C",IF(G56&gt;=60,"D","F"))))</f>
        <v>B</v>
      </c>
      <c r="H57" s="30" t="str">
        <f t="shared" ref="H57" si="228">IF(H56&gt;=90,"A",IF(H56&gt;=80,"B",IF(H56&gt;=70,"C",IF(H56&gt;=60,"D","F"))))</f>
        <v>A</v>
      </c>
      <c r="I57" s="30" t="str">
        <f t="shared" ref="I57" si="229">IF(I56&gt;=90,"A",IF(I56&gt;=80,"B",IF(I56&gt;=70,"C",IF(I56&gt;=60,"D","F"))))</f>
        <v>A</v>
      </c>
      <c r="J57" s="30" t="str">
        <f t="shared" ref="J57" si="230">IF(J56&gt;=90,"A",IF(J56&gt;=80,"B",IF(J56&gt;=70,"C",IF(J56&gt;=60,"D","F"))))</f>
        <v>A</v>
      </c>
      <c r="K57" s="30" t="str">
        <f t="shared" ref="K57" si="231">IF(K56&gt;=90,"A",IF(K56&gt;=80,"B",IF(K56&gt;=70,"C",IF(K56&gt;=60,"D","F"))))</f>
        <v>A</v>
      </c>
      <c r="L57" s="30" t="str">
        <f t="shared" ref="L57" si="232">IF(L56&gt;=90,"A",IF(L56&gt;=80,"B",IF(L56&gt;=70,"C",IF(L56&gt;=60,"D","F"))))</f>
        <v>A</v>
      </c>
      <c r="M57" s="30" t="str">
        <f t="shared" ref="M57" si="233">IF(M56&gt;=90,"A",IF(M56&gt;=80,"B",IF(M56&gt;=70,"C",IF(M56&gt;=60,"D","F"))))</f>
        <v>A</v>
      </c>
      <c r="N57" s="30" t="str">
        <f t="shared" ref="N57" si="234">IF(N56&gt;=90,"A",IF(N56&gt;=80,"B",IF(N56&gt;=70,"C",IF(N56&gt;=60,"D","F"))))</f>
        <v>A</v>
      </c>
      <c r="O57" s="26"/>
    </row>
  </sheetData>
  <sheetProtection formatCells="0" formatColumns="0" formatRows="0" insertColumns="0" insertRows="0" insertHyperlinks="0" deleteColumns="0" deleteRows="0" sort="0" autoFilter="0" pivotTables="0"/>
  <autoFilter ref="A1:D56" xr:uid="{00000000-0009-0000-0000-000001000000}">
    <filterColumn colId="0" showButton="0"/>
  </autoFilter>
  <sortState ref="B12:D31">
    <sortCondition ref="B12"/>
  </sortState>
  <mergeCells count="1">
    <mergeCell ref="A1:B2"/>
  </mergeCells>
  <pageMargins left="0.23" right="0.17" top="0.44" bottom="0.37" header="0.17" footer="0.39"/>
  <pageSetup paperSize="9" orientation="landscape" r:id="rId1"/>
  <headerFooter>
    <oddFooter xml:space="preserve">&amp;C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8"/>
  <sheetViews>
    <sheetView tabSelected="1" zoomScaleNormal="100" workbookViewId="0">
      <selection sqref="A1:B2"/>
    </sheetView>
  </sheetViews>
  <sheetFormatPr defaultRowHeight="15" x14ac:dyDescent="0.25"/>
  <cols>
    <col min="1" max="1" width="5.140625" style="13" customWidth="1"/>
    <col min="2" max="2" width="20" style="28" customWidth="1"/>
    <col min="3" max="3" width="11.140625" style="28" bestFit="1" customWidth="1"/>
    <col min="4" max="4" width="3.85546875" style="7" customWidth="1"/>
    <col min="5" max="6" width="10.28515625" style="28" customWidth="1"/>
    <col min="7" max="7" width="12.42578125" style="28" bestFit="1" customWidth="1"/>
    <col min="8" max="8" width="10.28515625" style="28" customWidth="1"/>
    <col min="9" max="9" width="13.28515625" style="28" bestFit="1" customWidth="1"/>
    <col min="10" max="15" width="10.28515625" style="28" customWidth="1"/>
    <col min="16" max="16384" width="9.140625" style="2"/>
  </cols>
  <sheetData>
    <row r="1" spans="1:15" ht="6" customHeight="1" x14ac:dyDescent="0.25">
      <c r="A1" s="85" t="s">
        <v>885</v>
      </c>
      <c r="B1" s="86"/>
      <c r="C1" s="80"/>
    </row>
    <row r="2" spans="1:15" ht="10.5" customHeight="1" x14ac:dyDescent="0.25">
      <c r="A2" s="87"/>
      <c r="B2" s="88"/>
      <c r="C2" s="80"/>
    </row>
    <row r="3" spans="1:15" ht="15.75" customHeight="1" x14ac:dyDescent="0.25">
      <c r="A3" s="23" t="s">
        <v>0</v>
      </c>
      <c r="B3" s="24" t="s">
        <v>1</v>
      </c>
      <c r="C3" s="24"/>
      <c r="D3" s="20" t="s">
        <v>2</v>
      </c>
      <c r="E3" s="29" t="s">
        <v>426</v>
      </c>
      <c r="F3" s="29" t="s">
        <v>427</v>
      </c>
      <c r="G3" s="29" t="s">
        <v>456</v>
      </c>
      <c r="H3" s="29" t="s">
        <v>423</v>
      </c>
      <c r="I3" s="29" t="s">
        <v>827</v>
      </c>
      <c r="J3" s="29" t="s">
        <v>432</v>
      </c>
      <c r="K3" s="29" t="s">
        <v>445</v>
      </c>
      <c r="L3" s="29" t="s">
        <v>424</v>
      </c>
      <c r="M3" s="29" t="s">
        <v>425</v>
      </c>
      <c r="N3" s="29" t="s">
        <v>438</v>
      </c>
      <c r="O3" s="29" t="s">
        <v>428</v>
      </c>
    </row>
    <row r="4" spans="1:15" s="5" customFormat="1" ht="13.5" customHeight="1" x14ac:dyDescent="0.3">
      <c r="A4" s="22">
        <v>1</v>
      </c>
      <c r="B4" s="15" t="s">
        <v>82</v>
      </c>
      <c r="C4" s="2" t="s">
        <v>858</v>
      </c>
      <c r="D4" s="22" t="s">
        <v>375</v>
      </c>
      <c r="E4" s="18">
        <v>93</v>
      </c>
      <c r="F4" s="18">
        <v>100</v>
      </c>
      <c r="G4" s="18">
        <v>100</v>
      </c>
      <c r="H4" s="18">
        <v>91</v>
      </c>
      <c r="I4" s="18">
        <v>91</v>
      </c>
      <c r="J4" s="18">
        <v>100</v>
      </c>
      <c r="K4" s="18">
        <v>98</v>
      </c>
      <c r="L4" s="18">
        <v>97</v>
      </c>
      <c r="M4" s="18">
        <v>99</v>
      </c>
      <c r="N4" s="18">
        <v>100</v>
      </c>
      <c r="O4" s="26">
        <f>AVERAGE(E4:N4)</f>
        <v>96.9</v>
      </c>
    </row>
    <row r="5" spans="1:15" s="33" customFormat="1" ht="13.5" customHeight="1" x14ac:dyDescent="0.3">
      <c r="A5" s="17"/>
      <c r="B5" s="31"/>
      <c r="C5" s="2"/>
      <c r="D5" s="17"/>
      <c r="E5" s="32" t="str">
        <f>IF(E4&gt;=90,"A",IF(E4&gt;=80,"B",IF(E4&gt;=70,"C",IF(E4&gt;=60,"D","F"))))</f>
        <v>A</v>
      </c>
      <c r="F5" s="32" t="str">
        <f t="shared" ref="F5:N57" si="0">IF(F4&gt;=90,"A",IF(F4&gt;=80,"B",IF(F4&gt;=70,"C",IF(F4&gt;=60,"D","F"))))</f>
        <v>A</v>
      </c>
      <c r="G5" s="32" t="str">
        <f t="shared" si="0"/>
        <v>A</v>
      </c>
      <c r="H5" s="32" t="str">
        <f t="shared" si="0"/>
        <v>A</v>
      </c>
      <c r="I5" s="32" t="str">
        <f t="shared" si="0"/>
        <v>A</v>
      </c>
      <c r="J5" s="32" t="str">
        <f t="shared" si="0"/>
        <v>A</v>
      </c>
      <c r="K5" s="32" t="str">
        <f t="shared" si="0"/>
        <v>A</v>
      </c>
      <c r="L5" s="32" t="str">
        <f t="shared" si="0"/>
        <v>A</v>
      </c>
      <c r="M5" s="32" t="str">
        <f t="shared" si="0"/>
        <v>A</v>
      </c>
      <c r="N5" s="32" t="str">
        <f t="shared" si="0"/>
        <v>A</v>
      </c>
      <c r="O5" s="26"/>
    </row>
    <row r="6" spans="1:15" s="5" customFormat="1" ht="13.5" customHeight="1" x14ac:dyDescent="0.3">
      <c r="A6" s="22">
        <v>2</v>
      </c>
      <c r="B6" s="15" t="s">
        <v>83</v>
      </c>
      <c r="C6" s="2" t="s">
        <v>859</v>
      </c>
      <c r="D6" s="22" t="s">
        <v>376</v>
      </c>
      <c r="E6" s="30">
        <v>91</v>
      </c>
      <c r="F6" s="30">
        <v>89</v>
      </c>
      <c r="G6" s="30">
        <v>98</v>
      </c>
      <c r="H6" s="30">
        <v>100</v>
      </c>
      <c r="I6" s="30">
        <v>98</v>
      </c>
      <c r="J6" s="30">
        <v>100</v>
      </c>
      <c r="K6" s="30">
        <v>97</v>
      </c>
      <c r="L6" s="30">
        <v>94</v>
      </c>
      <c r="M6" s="30">
        <v>100</v>
      </c>
      <c r="N6" s="30">
        <v>96</v>
      </c>
      <c r="O6" s="26">
        <f t="shared" ref="O6:O56" si="1">AVERAGE(E6:N6)</f>
        <v>96.3</v>
      </c>
    </row>
    <row r="7" spans="1:15" s="33" customFormat="1" ht="13.5" customHeight="1" x14ac:dyDescent="0.3">
      <c r="A7" s="17"/>
      <c r="B7" s="31"/>
      <c r="C7" s="2"/>
      <c r="D7" s="17"/>
      <c r="E7" s="32" t="str">
        <f>IF(E6&gt;=90,"A",IF(E6&gt;=80,"B",IF(E6&gt;=70,"C",IF(E6&gt;=60,"D","F"))))</f>
        <v>A</v>
      </c>
      <c r="F7" s="32" t="str">
        <f t="shared" si="0"/>
        <v>B</v>
      </c>
      <c r="G7" s="32" t="str">
        <f t="shared" si="0"/>
        <v>A</v>
      </c>
      <c r="H7" s="32" t="str">
        <f t="shared" si="0"/>
        <v>A</v>
      </c>
      <c r="I7" s="32" t="str">
        <f t="shared" si="0"/>
        <v>A</v>
      </c>
      <c r="J7" s="32" t="str">
        <f t="shared" si="0"/>
        <v>A</v>
      </c>
      <c r="K7" s="32" t="str">
        <f t="shared" si="0"/>
        <v>A</v>
      </c>
      <c r="L7" s="32" t="str">
        <f t="shared" si="0"/>
        <v>A</v>
      </c>
      <c r="M7" s="32" t="str">
        <f t="shared" si="0"/>
        <v>A</v>
      </c>
      <c r="N7" s="32" t="str">
        <f t="shared" si="0"/>
        <v>A</v>
      </c>
      <c r="O7" s="26"/>
    </row>
    <row r="8" spans="1:15" s="5" customFormat="1" ht="13.5" customHeight="1" x14ac:dyDescent="0.3">
      <c r="A8" s="22">
        <v>3</v>
      </c>
      <c r="B8" s="15" t="s">
        <v>84</v>
      </c>
      <c r="C8" s="2" t="s">
        <v>860</v>
      </c>
      <c r="D8" s="22" t="s">
        <v>375</v>
      </c>
      <c r="E8" s="18">
        <v>91</v>
      </c>
      <c r="F8" s="18">
        <v>100</v>
      </c>
      <c r="G8" s="18">
        <v>100</v>
      </c>
      <c r="H8" s="18">
        <v>95</v>
      </c>
      <c r="I8" s="18">
        <v>96</v>
      </c>
      <c r="J8" s="18">
        <v>100</v>
      </c>
      <c r="K8" s="30">
        <v>99</v>
      </c>
      <c r="L8" s="30">
        <v>100</v>
      </c>
      <c r="M8" s="30">
        <v>100</v>
      </c>
      <c r="N8" s="30">
        <v>100</v>
      </c>
      <c r="O8" s="26">
        <f t="shared" si="1"/>
        <v>98.1</v>
      </c>
    </row>
    <row r="9" spans="1:15" s="33" customFormat="1" ht="13.5" customHeight="1" x14ac:dyDescent="0.3">
      <c r="A9" s="17"/>
      <c r="B9" s="31"/>
      <c r="C9" s="2"/>
      <c r="D9" s="17"/>
      <c r="E9" s="32" t="str">
        <f>IF(E8&gt;=90,"A",IF(E8&gt;=80,"B",IF(E8&gt;=70,"C",IF(E8&gt;=60,"D","F"))))</f>
        <v>A</v>
      </c>
      <c r="F9" s="32" t="str">
        <f t="shared" si="0"/>
        <v>A</v>
      </c>
      <c r="G9" s="32" t="str">
        <f t="shared" si="0"/>
        <v>A</v>
      </c>
      <c r="H9" s="32" t="str">
        <f t="shared" si="0"/>
        <v>A</v>
      </c>
      <c r="I9" s="32" t="str">
        <f t="shared" si="0"/>
        <v>A</v>
      </c>
      <c r="J9" s="32" t="str">
        <f t="shared" si="0"/>
        <v>A</v>
      </c>
      <c r="K9" s="32" t="str">
        <f t="shared" si="0"/>
        <v>A</v>
      </c>
      <c r="L9" s="32" t="str">
        <f t="shared" si="0"/>
        <v>A</v>
      </c>
      <c r="M9" s="32" t="str">
        <f t="shared" si="0"/>
        <v>A</v>
      </c>
      <c r="N9" s="32" t="str">
        <f t="shared" si="0"/>
        <v>A</v>
      </c>
      <c r="O9" s="26"/>
    </row>
    <row r="10" spans="1:15" s="5" customFormat="1" ht="13.5" customHeight="1" x14ac:dyDescent="0.3">
      <c r="A10" s="22">
        <v>4</v>
      </c>
      <c r="B10" s="15" t="s">
        <v>85</v>
      </c>
      <c r="C10" s="2" t="s">
        <v>861</v>
      </c>
      <c r="D10" s="22" t="s">
        <v>375</v>
      </c>
      <c r="E10" s="30">
        <v>94</v>
      </c>
      <c r="F10" s="30">
        <v>100</v>
      </c>
      <c r="G10" s="30">
        <v>84</v>
      </c>
      <c r="H10" s="30">
        <v>96</v>
      </c>
      <c r="I10" s="30">
        <v>91</v>
      </c>
      <c r="J10" s="30">
        <v>100</v>
      </c>
      <c r="K10" s="30">
        <v>100</v>
      </c>
      <c r="L10" s="30">
        <v>100</v>
      </c>
      <c r="M10" s="30">
        <v>100</v>
      </c>
      <c r="N10" s="30">
        <v>100</v>
      </c>
      <c r="O10" s="26">
        <f t="shared" si="1"/>
        <v>96.5</v>
      </c>
    </row>
    <row r="11" spans="1:15" s="33" customFormat="1" ht="13.5" customHeight="1" x14ac:dyDescent="0.3">
      <c r="A11" s="17"/>
      <c r="B11" s="31"/>
      <c r="C11" s="2"/>
      <c r="D11" s="17"/>
      <c r="E11" s="32" t="str">
        <f>IF(E10&gt;=90,"A",IF(E10&gt;=80,"B",IF(E10&gt;=70,"C",IF(E10&gt;=60,"D","F"))))</f>
        <v>A</v>
      </c>
      <c r="F11" s="32" t="str">
        <f t="shared" si="0"/>
        <v>A</v>
      </c>
      <c r="G11" s="32" t="str">
        <f t="shared" si="0"/>
        <v>B</v>
      </c>
      <c r="H11" s="32" t="str">
        <f t="shared" si="0"/>
        <v>A</v>
      </c>
      <c r="I11" s="32" t="str">
        <f t="shared" si="0"/>
        <v>A</v>
      </c>
      <c r="J11" s="32" t="str">
        <f t="shared" si="0"/>
        <v>A</v>
      </c>
      <c r="K11" s="32" t="str">
        <f t="shared" si="0"/>
        <v>A</v>
      </c>
      <c r="L11" s="32" t="str">
        <f t="shared" si="0"/>
        <v>A</v>
      </c>
      <c r="M11" s="32" t="str">
        <f t="shared" si="0"/>
        <v>A</v>
      </c>
      <c r="N11" s="32" t="str">
        <f t="shared" si="0"/>
        <v>A</v>
      </c>
      <c r="O11" s="26"/>
    </row>
    <row r="12" spans="1:15" s="5" customFormat="1" ht="13.5" customHeight="1" x14ac:dyDescent="0.3">
      <c r="A12" s="22">
        <v>5</v>
      </c>
      <c r="B12" s="16" t="s">
        <v>66</v>
      </c>
      <c r="C12" s="2" t="s">
        <v>862</v>
      </c>
      <c r="D12" s="22" t="s">
        <v>376</v>
      </c>
      <c r="E12" s="18">
        <v>81</v>
      </c>
      <c r="F12" s="18">
        <v>80</v>
      </c>
      <c r="G12" s="18">
        <v>78</v>
      </c>
      <c r="H12" s="18">
        <v>77</v>
      </c>
      <c r="I12" s="18">
        <v>82</v>
      </c>
      <c r="J12" s="18">
        <v>98</v>
      </c>
      <c r="K12" s="18">
        <v>99</v>
      </c>
      <c r="L12" s="18">
        <v>96</v>
      </c>
      <c r="M12" s="18">
        <v>99</v>
      </c>
      <c r="N12" s="18">
        <v>98</v>
      </c>
      <c r="O12" s="26">
        <f t="shared" si="1"/>
        <v>88.8</v>
      </c>
    </row>
    <row r="13" spans="1:15" s="33" customFormat="1" ht="13.5" customHeight="1" x14ac:dyDescent="0.3">
      <c r="A13" s="17"/>
      <c r="B13" s="16"/>
      <c r="C13" s="2"/>
      <c r="D13" s="17"/>
      <c r="E13" s="32" t="str">
        <f>IF(E12&gt;=90,"A",IF(E12&gt;=80,"B",IF(E12&gt;=70,"C",IF(E12&gt;=60,"D","F"))))</f>
        <v>B</v>
      </c>
      <c r="F13" s="32" t="str">
        <f t="shared" si="0"/>
        <v>B</v>
      </c>
      <c r="G13" s="32" t="str">
        <f t="shared" si="0"/>
        <v>C</v>
      </c>
      <c r="H13" s="32" t="str">
        <f t="shared" si="0"/>
        <v>C</v>
      </c>
      <c r="I13" s="32" t="str">
        <f t="shared" si="0"/>
        <v>B</v>
      </c>
      <c r="J13" s="32" t="str">
        <f t="shared" si="0"/>
        <v>A</v>
      </c>
      <c r="K13" s="32" t="str">
        <f t="shared" si="0"/>
        <v>A</v>
      </c>
      <c r="L13" s="32" t="str">
        <f t="shared" si="0"/>
        <v>A</v>
      </c>
      <c r="M13" s="32" t="str">
        <f t="shared" si="0"/>
        <v>A</v>
      </c>
      <c r="N13" s="32" t="str">
        <f t="shared" si="0"/>
        <v>A</v>
      </c>
      <c r="O13" s="26"/>
    </row>
    <row r="14" spans="1:15" s="5" customFormat="1" ht="13.5" customHeight="1" x14ac:dyDescent="0.3">
      <c r="A14" s="22">
        <v>6</v>
      </c>
      <c r="B14" s="15" t="s">
        <v>86</v>
      </c>
      <c r="C14" s="2" t="s">
        <v>863</v>
      </c>
      <c r="D14" s="22" t="s">
        <v>375</v>
      </c>
      <c r="E14" s="18">
        <v>78</v>
      </c>
      <c r="F14" s="18">
        <v>80</v>
      </c>
      <c r="G14" s="30">
        <v>82</v>
      </c>
      <c r="H14" s="30">
        <v>88</v>
      </c>
      <c r="I14" s="30">
        <v>87</v>
      </c>
      <c r="J14" s="30">
        <v>100</v>
      </c>
      <c r="K14" s="30">
        <v>99</v>
      </c>
      <c r="L14" s="30">
        <v>98</v>
      </c>
      <c r="M14" s="30">
        <v>100</v>
      </c>
      <c r="N14" s="30">
        <v>99</v>
      </c>
      <c r="O14" s="26">
        <f t="shared" si="1"/>
        <v>91.1</v>
      </c>
    </row>
    <row r="15" spans="1:15" s="33" customFormat="1" ht="13.5" customHeight="1" x14ac:dyDescent="0.3">
      <c r="A15" s="17"/>
      <c r="B15" s="31"/>
      <c r="C15" s="2"/>
      <c r="D15" s="17"/>
      <c r="E15" s="32" t="str">
        <f>IF(E14&gt;=90,"A",IF(E14&gt;=80,"B",IF(E14&gt;=70,"C",IF(E14&gt;=60,"D","F"))))</f>
        <v>C</v>
      </c>
      <c r="F15" s="32" t="str">
        <f t="shared" si="0"/>
        <v>B</v>
      </c>
      <c r="G15" s="32" t="str">
        <f t="shared" si="0"/>
        <v>B</v>
      </c>
      <c r="H15" s="32" t="str">
        <f t="shared" si="0"/>
        <v>B</v>
      </c>
      <c r="I15" s="32" t="str">
        <f t="shared" si="0"/>
        <v>B</v>
      </c>
      <c r="J15" s="32" t="str">
        <f t="shared" si="0"/>
        <v>A</v>
      </c>
      <c r="K15" s="32" t="str">
        <f t="shared" si="0"/>
        <v>A</v>
      </c>
      <c r="L15" s="32" t="str">
        <f t="shared" si="0"/>
        <v>A</v>
      </c>
      <c r="M15" s="32" t="str">
        <f t="shared" si="0"/>
        <v>A</v>
      </c>
      <c r="N15" s="32" t="str">
        <f t="shared" si="0"/>
        <v>A</v>
      </c>
      <c r="O15" s="26"/>
    </row>
    <row r="16" spans="1:15" s="5" customFormat="1" ht="13.5" customHeight="1" x14ac:dyDescent="0.3">
      <c r="A16" s="22">
        <v>7</v>
      </c>
      <c r="B16" s="15" t="s">
        <v>87</v>
      </c>
      <c r="C16" s="2" t="s">
        <v>864</v>
      </c>
      <c r="D16" s="22" t="s">
        <v>376</v>
      </c>
      <c r="E16" s="18">
        <v>96</v>
      </c>
      <c r="F16" s="18">
        <v>100</v>
      </c>
      <c r="G16" s="18">
        <v>93</v>
      </c>
      <c r="H16" s="18">
        <v>98</v>
      </c>
      <c r="I16" s="18">
        <v>100</v>
      </c>
      <c r="J16" s="18">
        <v>100</v>
      </c>
      <c r="K16" s="18">
        <v>90</v>
      </c>
      <c r="L16" s="18">
        <v>100</v>
      </c>
      <c r="M16" s="18">
        <v>100</v>
      </c>
      <c r="N16" s="18">
        <v>100</v>
      </c>
      <c r="O16" s="26">
        <f t="shared" si="1"/>
        <v>97.7</v>
      </c>
    </row>
    <row r="17" spans="1:15" s="33" customFormat="1" ht="13.5" customHeight="1" x14ac:dyDescent="0.3">
      <c r="A17" s="17"/>
      <c r="B17" s="31"/>
      <c r="C17" s="2"/>
      <c r="D17" s="17"/>
      <c r="E17" s="32" t="str">
        <f>IF(E16&gt;=90,"A",IF(E16&gt;=80,"B",IF(E16&gt;=70,"C",IF(E16&gt;=60,"D","F"))))</f>
        <v>A</v>
      </c>
      <c r="F17" s="32" t="str">
        <f t="shared" si="0"/>
        <v>A</v>
      </c>
      <c r="G17" s="32" t="str">
        <f t="shared" si="0"/>
        <v>A</v>
      </c>
      <c r="H17" s="32" t="str">
        <f t="shared" si="0"/>
        <v>A</v>
      </c>
      <c r="I17" s="32" t="str">
        <f t="shared" si="0"/>
        <v>A</v>
      </c>
      <c r="J17" s="32" t="str">
        <f t="shared" si="0"/>
        <v>A</v>
      </c>
      <c r="K17" s="32" t="str">
        <f t="shared" si="0"/>
        <v>A</v>
      </c>
      <c r="L17" s="32" t="str">
        <f t="shared" si="0"/>
        <v>A</v>
      </c>
      <c r="M17" s="32" t="str">
        <f t="shared" si="0"/>
        <v>A</v>
      </c>
      <c r="N17" s="32" t="str">
        <f t="shared" si="0"/>
        <v>A</v>
      </c>
      <c r="O17" s="26"/>
    </row>
    <row r="18" spans="1:15" s="5" customFormat="1" ht="13.5" customHeight="1" x14ac:dyDescent="0.3">
      <c r="A18" s="22">
        <v>8</v>
      </c>
      <c r="B18" s="15" t="s">
        <v>88</v>
      </c>
      <c r="C18" s="2" t="s">
        <v>865</v>
      </c>
      <c r="D18" s="22" t="s">
        <v>375</v>
      </c>
      <c r="E18" s="30">
        <v>85</v>
      </c>
      <c r="F18" s="30">
        <v>90</v>
      </c>
      <c r="G18" s="30">
        <v>90</v>
      </c>
      <c r="H18" s="30">
        <v>90</v>
      </c>
      <c r="I18" s="30">
        <v>90</v>
      </c>
      <c r="J18" s="30">
        <v>100</v>
      </c>
      <c r="K18" s="30">
        <v>99</v>
      </c>
      <c r="L18" s="30">
        <v>98</v>
      </c>
      <c r="M18" s="30">
        <v>100</v>
      </c>
      <c r="N18" s="30">
        <v>98</v>
      </c>
      <c r="O18" s="26">
        <f t="shared" si="1"/>
        <v>94</v>
      </c>
    </row>
    <row r="19" spans="1:15" s="33" customFormat="1" ht="13.5" customHeight="1" x14ac:dyDescent="0.3">
      <c r="A19" s="17"/>
      <c r="B19" s="31"/>
      <c r="C19" s="2"/>
      <c r="D19" s="17"/>
      <c r="E19" s="32" t="str">
        <f>IF(E18&gt;=90,"A",IF(E18&gt;=80,"B",IF(E18&gt;=70,"C",IF(E18&gt;=60,"D","F"))))</f>
        <v>B</v>
      </c>
      <c r="F19" s="32" t="str">
        <f t="shared" si="0"/>
        <v>A</v>
      </c>
      <c r="G19" s="32" t="str">
        <f t="shared" si="0"/>
        <v>A</v>
      </c>
      <c r="H19" s="32" t="str">
        <f t="shared" si="0"/>
        <v>A</v>
      </c>
      <c r="I19" s="32" t="str">
        <f t="shared" si="0"/>
        <v>A</v>
      </c>
      <c r="J19" s="32" t="str">
        <f t="shared" si="0"/>
        <v>A</v>
      </c>
      <c r="K19" s="32" t="str">
        <f t="shared" si="0"/>
        <v>A</v>
      </c>
      <c r="L19" s="32" t="str">
        <f t="shared" si="0"/>
        <v>A</v>
      </c>
      <c r="M19" s="32" t="str">
        <f t="shared" si="0"/>
        <v>A</v>
      </c>
      <c r="N19" s="32" t="str">
        <f t="shared" si="0"/>
        <v>A</v>
      </c>
      <c r="O19" s="26"/>
    </row>
    <row r="20" spans="1:15" s="5" customFormat="1" ht="13.5" customHeight="1" x14ac:dyDescent="0.3">
      <c r="A20" s="22">
        <v>9</v>
      </c>
      <c r="B20" s="15" t="s">
        <v>89</v>
      </c>
      <c r="C20" s="2" t="s">
        <v>866</v>
      </c>
      <c r="D20" s="22" t="s">
        <v>376</v>
      </c>
      <c r="E20" s="18">
        <v>90</v>
      </c>
      <c r="F20" s="18">
        <v>95</v>
      </c>
      <c r="G20" s="18">
        <v>95</v>
      </c>
      <c r="H20" s="18">
        <v>95</v>
      </c>
      <c r="I20" s="18">
        <v>100</v>
      </c>
      <c r="J20" s="18">
        <v>98</v>
      </c>
      <c r="K20" s="18">
        <v>97</v>
      </c>
      <c r="L20" s="18">
        <v>98</v>
      </c>
      <c r="M20" s="18">
        <v>100</v>
      </c>
      <c r="N20" s="18">
        <v>97</v>
      </c>
      <c r="O20" s="26">
        <f t="shared" si="1"/>
        <v>96.5</v>
      </c>
    </row>
    <row r="21" spans="1:15" s="33" customFormat="1" ht="13.5" customHeight="1" x14ac:dyDescent="0.3">
      <c r="A21" s="17"/>
      <c r="B21" s="31"/>
      <c r="C21" s="2"/>
      <c r="D21" s="17"/>
      <c r="E21" s="32" t="str">
        <f>IF(E20&gt;=90,"A",IF(E20&gt;=80,"B",IF(E20&gt;=70,"C",IF(E20&gt;=60,"D","F"))))</f>
        <v>A</v>
      </c>
      <c r="F21" s="32" t="str">
        <f t="shared" si="0"/>
        <v>A</v>
      </c>
      <c r="G21" s="32" t="str">
        <f t="shared" si="0"/>
        <v>A</v>
      </c>
      <c r="H21" s="32" t="str">
        <f t="shared" si="0"/>
        <v>A</v>
      </c>
      <c r="I21" s="32" t="str">
        <f t="shared" si="0"/>
        <v>A</v>
      </c>
      <c r="J21" s="32" t="str">
        <f t="shared" si="0"/>
        <v>A</v>
      </c>
      <c r="K21" s="32" t="str">
        <f t="shared" si="0"/>
        <v>A</v>
      </c>
      <c r="L21" s="32" t="str">
        <f t="shared" si="0"/>
        <v>A</v>
      </c>
      <c r="M21" s="32" t="str">
        <f t="shared" si="0"/>
        <v>A</v>
      </c>
      <c r="N21" s="32" t="str">
        <f t="shared" si="0"/>
        <v>A</v>
      </c>
      <c r="O21" s="26"/>
    </row>
    <row r="22" spans="1:15" s="5" customFormat="1" ht="13.5" customHeight="1" x14ac:dyDescent="0.3">
      <c r="A22" s="22">
        <v>10</v>
      </c>
      <c r="B22" s="15" t="s">
        <v>90</v>
      </c>
      <c r="C22" s="2" t="s">
        <v>867</v>
      </c>
      <c r="D22" s="22" t="s">
        <v>376</v>
      </c>
      <c r="E22" s="18">
        <v>90</v>
      </c>
      <c r="F22" s="18">
        <v>87</v>
      </c>
      <c r="G22" s="18">
        <v>98</v>
      </c>
      <c r="H22" s="18">
        <v>100</v>
      </c>
      <c r="I22" s="18">
        <v>97</v>
      </c>
      <c r="J22" s="18">
        <v>100</v>
      </c>
      <c r="K22" s="18">
        <v>97</v>
      </c>
      <c r="L22" s="18">
        <v>97</v>
      </c>
      <c r="M22" s="18">
        <v>99</v>
      </c>
      <c r="N22" s="18">
        <v>100</v>
      </c>
      <c r="O22" s="26">
        <f t="shared" si="1"/>
        <v>96.5</v>
      </c>
    </row>
    <row r="23" spans="1:15" s="33" customFormat="1" ht="13.5" customHeight="1" x14ac:dyDescent="0.3">
      <c r="A23" s="17"/>
      <c r="B23" s="31"/>
      <c r="C23" s="2"/>
      <c r="D23" s="17"/>
      <c r="E23" s="32" t="str">
        <f>IF(E22&gt;=90,"A",IF(E22&gt;=80,"B",IF(E22&gt;=70,"C",IF(E22&gt;=60,"D","F"))))</f>
        <v>A</v>
      </c>
      <c r="F23" s="32" t="str">
        <f t="shared" si="0"/>
        <v>B</v>
      </c>
      <c r="G23" s="32" t="str">
        <f t="shared" si="0"/>
        <v>A</v>
      </c>
      <c r="H23" s="32" t="str">
        <f t="shared" si="0"/>
        <v>A</v>
      </c>
      <c r="I23" s="32" t="str">
        <f t="shared" si="0"/>
        <v>A</v>
      </c>
      <c r="J23" s="32" t="str">
        <f t="shared" si="0"/>
        <v>A</v>
      </c>
      <c r="K23" s="32" t="str">
        <f t="shared" si="0"/>
        <v>A</v>
      </c>
      <c r="L23" s="32" t="str">
        <f t="shared" si="0"/>
        <v>A</v>
      </c>
      <c r="M23" s="32" t="str">
        <f t="shared" si="0"/>
        <v>A</v>
      </c>
      <c r="N23" s="32" t="str">
        <f t="shared" si="0"/>
        <v>A</v>
      </c>
      <c r="O23" s="26"/>
    </row>
    <row r="24" spans="1:15" s="5" customFormat="1" ht="13.5" customHeight="1" x14ac:dyDescent="0.3">
      <c r="A24" s="22">
        <v>11</v>
      </c>
      <c r="B24" s="15" t="s">
        <v>377</v>
      </c>
      <c r="C24" s="2" t="s">
        <v>868</v>
      </c>
      <c r="D24" s="22" t="s">
        <v>376</v>
      </c>
      <c r="E24" s="30">
        <v>97</v>
      </c>
      <c r="F24" s="30">
        <v>80</v>
      </c>
      <c r="G24" s="30">
        <v>94</v>
      </c>
      <c r="H24" s="30">
        <v>92</v>
      </c>
      <c r="I24" s="30">
        <v>87</v>
      </c>
      <c r="J24" s="30">
        <v>100</v>
      </c>
      <c r="K24" s="30">
        <v>100</v>
      </c>
      <c r="L24" s="30">
        <v>99</v>
      </c>
      <c r="M24" s="30">
        <v>100</v>
      </c>
      <c r="N24" s="30">
        <v>99</v>
      </c>
      <c r="O24" s="26">
        <f t="shared" si="1"/>
        <v>94.8</v>
      </c>
    </row>
    <row r="25" spans="1:15" s="33" customFormat="1" ht="13.5" customHeight="1" x14ac:dyDescent="0.3">
      <c r="A25" s="17"/>
      <c r="B25" s="31"/>
      <c r="C25" s="2"/>
      <c r="D25" s="17"/>
      <c r="E25" s="32" t="str">
        <f>IF(E24&gt;=90,"A",IF(E24&gt;=80,"B",IF(E24&gt;=70,"C",IF(E24&gt;=60,"D","F"))))</f>
        <v>A</v>
      </c>
      <c r="F25" s="32" t="str">
        <f t="shared" si="0"/>
        <v>B</v>
      </c>
      <c r="G25" s="32" t="str">
        <f t="shared" si="0"/>
        <v>A</v>
      </c>
      <c r="H25" s="32" t="str">
        <f t="shared" si="0"/>
        <v>A</v>
      </c>
      <c r="I25" s="32" t="str">
        <f t="shared" si="0"/>
        <v>B</v>
      </c>
      <c r="J25" s="32" t="str">
        <f t="shared" si="0"/>
        <v>A</v>
      </c>
      <c r="K25" s="32" t="str">
        <f t="shared" si="0"/>
        <v>A</v>
      </c>
      <c r="L25" s="32" t="str">
        <f t="shared" si="0"/>
        <v>A</v>
      </c>
      <c r="M25" s="32" t="str">
        <f t="shared" si="0"/>
        <v>A</v>
      </c>
      <c r="N25" s="32" t="str">
        <f t="shared" si="0"/>
        <v>A</v>
      </c>
      <c r="O25" s="26"/>
    </row>
    <row r="26" spans="1:15" s="5" customFormat="1" ht="13.5" customHeight="1" x14ac:dyDescent="0.3">
      <c r="A26" s="22">
        <v>12</v>
      </c>
      <c r="B26" s="15" t="s">
        <v>91</v>
      </c>
      <c r="C26" s="2" t="s">
        <v>869</v>
      </c>
      <c r="D26" s="22" t="s">
        <v>375</v>
      </c>
      <c r="E26" s="18">
        <v>75</v>
      </c>
      <c r="F26" s="30">
        <v>54</v>
      </c>
      <c r="G26" s="18">
        <v>63</v>
      </c>
      <c r="H26" s="18">
        <v>80</v>
      </c>
      <c r="I26" s="18">
        <v>78</v>
      </c>
      <c r="J26" s="18">
        <v>93</v>
      </c>
      <c r="K26" s="18">
        <v>90</v>
      </c>
      <c r="L26" s="18">
        <v>92</v>
      </c>
      <c r="M26" s="18">
        <v>91</v>
      </c>
      <c r="N26" s="18">
        <v>94</v>
      </c>
      <c r="O26" s="26">
        <f t="shared" si="1"/>
        <v>81</v>
      </c>
    </row>
    <row r="27" spans="1:15" s="33" customFormat="1" ht="13.5" customHeight="1" x14ac:dyDescent="0.3">
      <c r="A27" s="17"/>
      <c r="B27" s="31"/>
      <c r="C27" s="2"/>
      <c r="D27" s="17"/>
      <c r="E27" s="32" t="str">
        <f>IF(E26&gt;=90,"A",IF(E26&gt;=80,"B",IF(E26&gt;=70,"C",IF(E26&gt;=60,"D","F"))))</f>
        <v>C</v>
      </c>
      <c r="F27" s="32" t="str">
        <f t="shared" si="0"/>
        <v>F</v>
      </c>
      <c r="G27" s="32" t="str">
        <f t="shared" si="0"/>
        <v>D</v>
      </c>
      <c r="H27" s="32" t="str">
        <f t="shared" si="0"/>
        <v>B</v>
      </c>
      <c r="I27" s="32" t="str">
        <f t="shared" si="0"/>
        <v>C</v>
      </c>
      <c r="J27" s="32" t="str">
        <f t="shared" si="0"/>
        <v>A</v>
      </c>
      <c r="K27" s="32" t="str">
        <f t="shared" si="0"/>
        <v>A</v>
      </c>
      <c r="L27" s="32" t="str">
        <f t="shared" si="0"/>
        <v>A</v>
      </c>
      <c r="M27" s="32" t="str">
        <f t="shared" si="0"/>
        <v>A</v>
      </c>
      <c r="N27" s="32" t="str">
        <f t="shared" si="0"/>
        <v>A</v>
      </c>
      <c r="O27" s="26"/>
    </row>
    <row r="28" spans="1:15" s="5" customFormat="1" ht="13.5" customHeight="1" x14ac:dyDescent="0.3">
      <c r="A28" s="22">
        <v>13</v>
      </c>
      <c r="B28" s="15" t="s">
        <v>92</v>
      </c>
      <c r="C28" s="2" t="s">
        <v>870</v>
      </c>
      <c r="D28" s="22" t="s">
        <v>375</v>
      </c>
      <c r="E28" s="30">
        <v>95</v>
      </c>
      <c r="F28" s="30">
        <v>100</v>
      </c>
      <c r="G28" s="30">
        <v>91</v>
      </c>
      <c r="H28" s="30">
        <v>83</v>
      </c>
      <c r="I28" s="30">
        <v>87</v>
      </c>
      <c r="J28" s="30">
        <v>100</v>
      </c>
      <c r="K28" s="18">
        <v>99</v>
      </c>
      <c r="L28" s="18">
        <v>91</v>
      </c>
      <c r="M28" s="18">
        <v>100</v>
      </c>
      <c r="N28" s="18">
        <v>97</v>
      </c>
      <c r="O28" s="26">
        <f t="shared" si="1"/>
        <v>94.3</v>
      </c>
    </row>
    <row r="29" spans="1:15" s="33" customFormat="1" ht="13.5" customHeight="1" x14ac:dyDescent="0.3">
      <c r="A29" s="17"/>
      <c r="B29" s="31"/>
      <c r="C29" s="2"/>
      <c r="D29" s="17"/>
      <c r="E29" s="32" t="str">
        <f>IF(E28&gt;=90,"A",IF(E28&gt;=80,"B",IF(E28&gt;=70,"C",IF(E28&gt;=60,"D","F"))))</f>
        <v>A</v>
      </c>
      <c r="F29" s="32" t="str">
        <f t="shared" si="0"/>
        <v>A</v>
      </c>
      <c r="G29" s="32" t="str">
        <f t="shared" si="0"/>
        <v>A</v>
      </c>
      <c r="H29" s="32" t="str">
        <f t="shared" si="0"/>
        <v>B</v>
      </c>
      <c r="I29" s="32" t="str">
        <f t="shared" si="0"/>
        <v>B</v>
      </c>
      <c r="J29" s="32" t="str">
        <f t="shared" si="0"/>
        <v>A</v>
      </c>
      <c r="K29" s="32" t="str">
        <f t="shared" si="0"/>
        <v>A</v>
      </c>
      <c r="L29" s="32" t="str">
        <f t="shared" si="0"/>
        <v>A</v>
      </c>
      <c r="M29" s="32" t="str">
        <f t="shared" si="0"/>
        <v>A</v>
      </c>
      <c r="N29" s="32" t="str">
        <f t="shared" si="0"/>
        <v>A</v>
      </c>
      <c r="O29" s="26"/>
    </row>
    <row r="30" spans="1:15" s="5" customFormat="1" ht="13.5" customHeight="1" x14ac:dyDescent="0.3">
      <c r="A30" s="22">
        <v>14</v>
      </c>
      <c r="B30" s="15" t="s">
        <v>51</v>
      </c>
      <c r="C30" s="2" t="s">
        <v>871</v>
      </c>
      <c r="D30" s="22" t="s">
        <v>375</v>
      </c>
      <c r="E30" s="18">
        <v>96</v>
      </c>
      <c r="F30" s="18">
        <v>91</v>
      </c>
      <c r="G30" s="18">
        <v>100</v>
      </c>
      <c r="H30" s="18">
        <v>98</v>
      </c>
      <c r="I30" s="18">
        <v>94</v>
      </c>
      <c r="J30" s="18">
        <v>100</v>
      </c>
      <c r="K30" s="30">
        <v>100</v>
      </c>
      <c r="L30" s="30">
        <v>91</v>
      </c>
      <c r="M30" s="30">
        <v>100</v>
      </c>
      <c r="N30" s="30">
        <v>100</v>
      </c>
      <c r="O30" s="26">
        <f t="shared" si="1"/>
        <v>97</v>
      </c>
    </row>
    <row r="31" spans="1:15" s="33" customFormat="1" ht="13.5" customHeight="1" x14ac:dyDescent="0.3">
      <c r="A31" s="17"/>
      <c r="B31" s="31"/>
      <c r="C31" s="2"/>
      <c r="D31" s="17"/>
      <c r="E31" s="32" t="str">
        <f>IF(E30&gt;=90,"A",IF(E30&gt;=80,"B",IF(E30&gt;=70,"C",IF(E30&gt;=60,"D","F"))))</f>
        <v>A</v>
      </c>
      <c r="F31" s="32" t="str">
        <f t="shared" si="0"/>
        <v>A</v>
      </c>
      <c r="G31" s="32" t="str">
        <f t="shared" si="0"/>
        <v>A</v>
      </c>
      <c r="H31" s="32" t="str">
        <f t="shared" si="0"/>
        <v>A</v>
      </c>
      <c r="I31" s="32" t="str">
        <f t="shared" si="0"/>
        <v>A</v>
      </c>
      <c r="J31" s="32" t="str">
        <f t="shared" si="0"/>
        <v>A</v>
      </c>
      <c r="K31" s="32" t="str">
        <f t="shared" si="0"/>
        <v>A</v>
      </c>
      <c r="L31" s="32" t="str">
        <f t="shared" si="0"/>
        <v>A</v>
      </c>
      <c r="M31" s="32" t="str">
        <f t="shared" si="0"/>
        <v>A</v>
      </c>
      <c r="N31" s="32" t="str">
        <f t="shared" si="0"/>
        <v>A</v>
      </c>
      <c r="O31" s="26"/>
    </row>
    <row r="32" spans="1:15" s="5" customFormat="1" ht="13.5" customHeight="1" x14ac:dyDescent="0.3">
      <c r="A32" s="22">
        <v>15</v>
      </c>
      <c r="B32" s="15" t="s">
        <v>93</v>
      </c>
      <c r="C32" s="2" t="s">
        <v>872</v>
      </c>
      <c r="D32" s="22" t="s">
        <v>376</v>
      </c>
      <c r="E32" s="30">
        <v>84</v>
      </c>
      <c r="F32" s="30">
        <v>73</v>
      </c>
      <c r="G32" s="30">
        <v>85</v>
      </c>
      <c r="H32" s="30">
        <v>80</v>
      </c>
      <c r="I32" s="30">
        <v>78</v>
      </c>
      <c r="J32" s="30">
        <v>100</v>
      </c>
      <c r="K32" s="30">
        <v>99</v>
      </c>
      <c r="L32" s="30">
        <v>100</v>
      </c>
      <c r="M32" s="30">
        <v>100</v>
      </c>
      <c r="N32" s="30">
        <v>100</v>
      </c>
      <c r="O32" s="26">
        <f t="shared" si="1"/>
        <v>89.9</v>
      </c>
    </row>
    <row r="33" spans="1:15" s="33" customFormat="1" ht="13.5" customHeight="1" x14ac:dyDescent="0.3">
      <c r="A33" s="17"/>
      <c r="B33" s="31"/>
      <c r="C33" s="2"/>
      <c r="D33" s="17"/>
      <c r="E33" s="32" t="str">
        <f>IF(E32&gt;=90,"A",IF(E32&gt;=80,"B",IF(E32&gt;=70,"C",IF(E32&gt;=60,"D","F"))))</f>
        <v>B</v>
      </c>
      <c r="F33" s="32" t="str">
        <f t="shared" si="0"/>
        <v>C</v>
      </c>
      <c r="G33" s="32" t="str">
        <f t="shared" si="0"/>
        <v>B</v>
      </c>
      <c r="H33" s="32" t="str">
        <f t="shared" si="0"/>
        <v>B</v>
      </c>
      <c r="I33" s="32" t="str">
        <f t="shared" si="0"/>
        <v>C</v>
      </c>
      <c r="J33" s="32" t="str">
        <f t="shared" si="0"/>
        <v>A</v>
      </c>
      <c r="K33" s="32" t="str">
        <f t="shared" si="0"/>
        <v>A</v>
      </c>
      <c r="L33" s="32" t="str">
        <f t="shared" si="0"/>
        <v>A</v>
      </c>
      <c r="M33" s="32" t="str">
        <f t="shared" si="0"/>
        <v>A</v>
      </c>
      <c r="N33" s="32" t="str">
        <f t="shared" si="0"/>
        <v>A</v>
      </c>
      <c r="O33" s="26"/>
    </row>
    <row r="34" spans="1:15" s="5" customFormat="1" ht="13.5" customHeight="1" x14ac:dyDescent="0.3">
      <c r="A34" s="22">
        <v>16</v>
      </c>
      <c r="B34" s="15" t="s">
        <v>94</v>
      </c>
      <c r="C34" s="2" t="s">
        <v>873</v>
      </c>
      <c r="D34" s="22" t="s">
        <v>375</v>
      </c>
      <c r="E34" s="18">
        <v>93</v>
      </c>
      <c r="F34" s="18">
        <v>90</v>
      </c>
      <c r="G34" s="18">
        <v>100</v>
      </c>
      <c r="H34" s="18">
        <v>100</v>
      </c>
      <c r="I34" s="18">
        <v>100</v>
      </c>
      <c r="J34" s="18">
        <v>100</v>
      </c>
      <c r="K34" s="18">
        <v>99</v>
      </c>
      <c r="L34" s="18">
        <v>91</v>
      </c>
      <c r="M34" s="18">
        <v>99</v>
      </c>
      <c r="N34" s="18">
        <v>100</v>
      </c>
      <c r="O34" s="26">
        <f t="shared" si="1"/>
        <v>97.2</v>
      </c>
    </row>
    <row r="35" spans="1:15" s="33" customFormat="1" ht="13.5" customHeight="1" x14ac:dyDescent="0.3">
      <c r="A35" s="17"/>
      <c r="B35" s="31"/>
      <c r="C35" s="2"/>
      <c r="D35" s="17"/>
      <c r="E35" s="32" t="str">
        <f>IF(E34&gt;=90,"A",IF(E34&gt;=80,"B",IF(E34&gt;=70,"C",IF(E34&gt;=60,"D","F"))))</f>
        <v>A</v>
      </c>
      <c r="F35" s="32" t="str">
        <f t="shared" si="0"/>
        <v>A</v>
      </c>
      <c r="G35" s="32" t="str">
        <f t="shared" si="0"/>
        <v>A</v>
      </c>
      <c r="H35" s="32" t="str">
        <f t="shared" si="0"/>
        <v>A</v>
      </c>
      <c r="I35" s="32" t="str">
        <f t="shared" si="0"/>
        <v>A</v>
      </c>
      <c r="J35" s="32" t="str">
        <f t="shared" si="0"/>
        <v>A</v>
      </c>
      <c r="K35" s="32" t="str">
        <f t="shared" si="0"/>
        <v>A</v>
      </c>
      <c r="L35" s="32" t="str">
        <f t="shared" si="0"/>
        <v>A</v>
      </c>
      <c r="M35" s="32" t="str">
        <f t="shared" si="0"/>
        <v>A</v>
      </c>
      <c r="N35" s="32" t="str">
        <f t="shared" si="0"/>
        <v>A</v>
      </c>
      <c r="O35" s="26"/>
    </row>
    <row r="36" spans="1:15" s="5" customFormat="1" ht="13.5" customHeight="1" x14ac:dyDescent="0.3">
      <c r="A36" s="22">
        <v>17</v>
      </c>
      <c r="B36" s="15" t="s">
        <v>95</v>
      </c>
      <c r="C36" s="2" t="s">
        <v>874</v>
      </c>
      <c r="D36" s="22" t="s">
        <v>375</v>
      </c>
      <c r="E36" s="30">
        <v>98</v>
      </c>
      <c r="F36" s="30">
        <v>100</v>
      </c>
      <c r="G36" s="30">
        <v>100</v>
      </c>
      <c r="H36" s="30">
        <v>97</v>
      </c>
      <c r="I36" s="30">
        <v>100</v>
      </c>
      <c r="J36" s="30">
        <v>100</v>
      </c>
      <c r="K36" s="30">
        <v>97</v>
      </c>
      <c r="L36" s="30">
        <v>91</v>
      </c>
      <c r="M36" s="30">
        <v>100</v>
      </c>
      <c r="N36" s="30">
        <v>100</v>
      </c>
      <c r="O36" s="26">
        <f t="shared" si="1"/>
        <v>98.3</v>
      </c>
    </row>
    <row r="37" spans="1:15" s="33" customFormat="1" ht="13.5" customHeight="1" x14ac:dyDescent="0.3">
      <c r="A37" s="17"/>
      <c r="B37" s="31"/>
      <c r="C37" s="2"/>
      <c r="D37" s="17"/>
      <c r="E37" s="32" t="str">
        <f>IF(E36&gt;=90,"A",IF(E36&gt;=80,"B",IF(E36&gt;=70,"C",IF(E36&gt;=60,"D","F"))))</f>
        <v>A</v>
      </c>
      <c r="F37" s="32" t="str">
        <f t="shared" si="0"/>
        <v>A</v>
      </c>
      <c r="G37" s="32" t="str">
        <f t="shared" si="0"/>
        <v>A</v>
      </c>
      <c r="H37" s="32" t="str">
        <f t="shared" si="0"/>
        <v>A</v>
      </c>
      <c r="I37" s="32" t="str">
        <f t="shared" si="0"/>
        <v>A</v>
      </c>
      <c r="J37" s="32" t="str">
        <f t="shared" si="0"/>
        <v>A</v>
      </c>
      <c r="K37" s="32" t="str">
        <f t="shared" si="0"/>
        <v>A</v>
      </c>
      <c r="L37" s="32" t="str">
        <f t="shared" si="0"/>
        <v>A</v>
      </c>
      <c r="M37" s="32" t="str">
        <f t="shared" si="0"/>
        <v>A</v>
      </c>
      <c r="N37" s="32" t="str">
        <f t="shared" si="0"/>
        <v>A</v>
      </c>
      <c r="O37" s="26"/>
    </row>
    <row r="38" spans="1:15" s="5" customFormat="1" ht="13.5" customHeight="1" x14ac:dyDescent="0.3">
      <c r="A38" s="22">
        <v>18</v>
      </c>
      <c r="B38" s="15" t="s">
        <v>96</v>
      </c>
      <c r="C38" s="2" t="s">
        <v>875</v>
      </c>
      <c r="D38" s="22" t="s">
        <v>376</v>
      </c>
      <c r="E38" s="18">
        <v>81</v>
      </c>
      <c r="F38" s="18">
        <v>67</v>
      </c>
      <c r="G38" s="18">
        <v>83</v>
      </c>
      <c r="H38" s="18">
        <v>90</v>
      </c>
      <c r="I38" s="18">
        <v>83</v>
      </c>
      <c r="J38" s="18">
        <v>100</v>
      </c>
      <c r="K38" s="18">
        <v>98</v>
      </c>
      <c r="L38" s="18">
        <v>96</v>
      </c>
      <c r="M38" s="18">
        <v>100</v>
      </c>
      <c r="N38" s="18">
        <v>96</v>
      </c>
      <c r="O38" s="26">
        <f t="shared" si="1"/>
        <v>89.4</v>
      </c>
    </row>
    <row r="39" spans="1:15" s="33" customFormat="1" ht="13.5" customHeight="1" x14ac:dyDescent="0.3">
      <c r="A39" s="17"/>
      <c r="B39" s="31"/>
      <c r="C39" s="2"/>
      <c r="D39" s="17"/>
      <c r="E39" s="32" t="str">
        <f>IF(E38&gt;=90,"A",IF(E38&gt;=80,"B",IF(E38&gt;=70,"C",IF(E38&gt;=60,"D","F"))))</f>
        <v>B</v>
      </c>
      <c r="F39" s="32" t="str">
        <f t="shared" si="0"/>
        <v>D</v>
      </c>
      <c r="G39" s="32" t="str">
        <f t="shared" si="0"/>
        <v>B</v>
      </c>
      <c r="H39" s="32" t="str">
        <f t="shared" si="0"/>
        <v>A</v>
      </c>
      <c r="I39" s="32" t="str">
        <f t="shared" si="0"/>
        <v>B</v>
      </c>
      <c r="J39" s="32" t="str">
        <f t="shared" si="0"/>
        <v>A</v>
      </c>
      <c r="K39" s="32" t="str">
        <f t="shared" si="0"/>
        <v>A</v>
      </c>
      <c r="L39" s="32" t="str">
        <f t="shared" si="0"/>
        <v>A</v>
      </c>
      <c r="M39" s="32" t="str">
        <f t="shared" si="0"/>
        <v>A</v>
      </c>
      <c r="N39" s="32" t="str">
        <f t="shared" si="0"/>
        <v>A</v>
      </c>
      <c r="O39" s="26"/>
    </row>
    <row r="40" spans="1:15" s="5" customFormat="1" ht="13.5" customHeight="1" x14ac:dyDescent="0.3">
      <c r="A40" s="22">
        <v>19</v>
      </c>
      <c r="B40" s="15" t="s">
        <v>97</v>
      </c>
      <c r="C40" s="2" t="s">
        <v>876</v>
      </c>
      <c r="D40" s="22" t="s">
        <v>376</v>
      </c>
      <c r="E40" s="30">
        <v>87</v>
      </c>
      <c r="F40" s="30">
        <v>74</v>
      </c>
      <c r="G40" s="30">
        <v>90</v>
      </c>
      <c r="H40" s="30">
        <v>87</v>
      </c>
      <c r="I40" s="30">
        <v>88</v>
      </c>
      <c r="J40" s="30">
        <v>100</v>
      </c>
      <c r="K40" s="30">
        <v>98</v>
      </c>
      <c r="L40" s="30">
        <v>95</v>
      </c>
      <c r="M40" s="30">
        <v>100</v>
      </c>
      <c r="N40" s="30">
        <v>100</v>
      </c>
      <c r="O40" s="26">
        <f t="shared" si="1"/>
        <v>91.9</v>
      </c>
    </row>
    <row r="41" spans="1:15" s="33" customFormat="1" ht="13.5" customHeight="1" x14ac:dyDescent="0.3">
      <c r="A41" s="17"/>
      <c r="B41" s="31"/>
      <c r="C41" s="2"/>
      <c r="D41" s="17"/>
      <c r="E41" s="32" t="str">
        <f>IF(E40&gt;=90,"A",IF(E40&gt;=80,"B",IF(E40&gt;=70,"C",IF(E40&gt;=60,"D","F"))))</f>
        <v>B</v>
      </c>
      <c r="F41" s="32" t="str">
        <f t="shared" si="0"/>
        <v>C</v>
      </c>
      <c r="G41" s="32" t="str">
        <f t="shared" si="0"/>
        <v>A</v>
      </c>
      <c r="H41" s="32" t="str">
        <f t="shared" si="0"/>
        <v>B</v>
      </c>
      <c r="I41" s="32" t="str">
        <f t="shared" si="0"/>
        <v>B</v>
      </c>
      <c r="J41" s="32" t="str">
        <f t="shared" si="0"/>
        <v>A</v>
      </c>
      <c r="K41" s="32" t="str">
        <f t="shared" si="0"/>
        <v>A</v>
      </c>
      <c r="L41" s="32" t="str">
        <f t="shared" si="0"/>
        <v>A</v>
      </c>
      <c r="M41" s="32" t="str">
        <f t="shared" si="0"/>
        <v>A</v>
      </c>
      <c r="N41" s="32" t="str">
        <f t="shared" si="0"/>
        <v>A</v>
      </c>
      <c r="O41" s="26"/>
    </row>
    <row r="42" spans="1:15" s="5" customFormat="1" ht="13.5" customHeight="1" x14ac:dyDescent="0.3">
      <c r="A42" s="22">
        <v>20</v>
      </c>
      <c r="B42" s="15" t="s">
        <v>98</v>
      </c>
      <c r="C42" s="2" t="s">
        <v>877</v>
      </c>
      <c r="D42" s="22" t="s">
        <v>376</v>
      </c>
      <c r="E42" s="18">
        <v>88</v>
      </c>
      <c r="F42" s="18">
        <v>100</v>
      </c>
      <c r="G42" s="18">
        <v>88</v>
      </c>
      <c r="H42" s="18">
        <v>92</v>
      </c>
      <c r="I42" s="18">
        <v>93</v>
      </c>
      <c r="J42" s="18">
        <v>100</v>
      </c>
      <c r="K42" s="18">
        <v>97</v>
      </c>
      <c r="L42" s="18">
        <v>96</v>
      </c>
      <c r="M42" s="18">
        <v>99</v>
      </c>
      <c r="N42" s="18">
        <v>96</v>
      </c>
      <c r="O42" s="26">
        <f t="shared" si="1"/>
        <v>94.9</v>
      </c>
    </row>
    <row r="43" spans="1:15" s="33" customFormat="1" ht="13.5" customHeight="1" x14ac:dyDescent="0.3">
      <c r="A43" s="17"/>
      <c r="B43" s="31"/>
      <c r="C43" s="2"/>
      <c r="D43" s="17"/>
      <c r="E43" s="32" t="str">
        <f>IF(E42&gt;=90,"A",IF(E42&gt;=80,"B",IF(E42&gt;=70,"C",IF(E42&gt;=60,"D","F"))))</f>
        <v>B</v>
      </c>
      <c r="F43" s="32" t="str">
        <f t="shared" si="0"/>
        <v>A</v>
      </c>
      <c r="G43" s="32" t="str">
        <f t="shared" si="0"/>
        <v>B</v>
      </c>
      <c r="H43" s="32" t="str">
        <f t="shared" si="0"/>
        <v>A</v>
      </c>
      <c r="I43" s="32" t="str">
        <f t="shared" si="0"/>
        <v>A</v>
      </c>
      <c r="J43" s="32" t="str">
        <f t="shared" si="0"/>
        <v>A</v>
      </c>
      <c r="K43" s="32" t="str">
        <f t="shared" si="0"/>
        <v>A</v>
      </c>
      <c r="L43" s="32" t="str">
        <f t="shared" si="0"/>
        <v>A</v>
      </c>
      <c r="M43" s="32" t="str">
        <f t="shared" si="0"/>
        <v>A</v>
      </c>
      <c r="N43" s="32" t="str">
        <f t="shared" si="0"/>
        <v>A</v>
      </c>
      <c r="O43" s="26"/>
    </row>
    <row r="44" spans="1:15" s="5" customFormat="1" ht="13.5" customHeight="1" x14ac:dyDescent="0.3">
      <c r="A44" s="22">
        <v>21</v>
      </c>
      <c r="B44" s="15" t="s">
        <v>99</v>
      </c>
      <c r="C44" s="2" t="s">
        <v>878</v>
      </c>
      <c r="D44" s="22" t="s">
        <v>376</v>
      </c>
      <c r="E44" s="30">
        <v>67</v>
      </c>
      <c r="F44" s="30">
        <v>61</v>
      </c>
      <c r="G44" s="30">
        <v>80</v>
      </c>
      <c r="H44" s="30">
        <v>73</v>
      </c>
      <c r="I44" s="30">
        <v>77</v>
      </c>
      <c r="J44" s="30">
        <v>100</v>
      </c>
      <c r="K44" s="30">
        <v>100</v>
      </c>
      <c r="L44" s="30">
        <v>98</v>
      </c>
      <c r="M44" s="30">
        <v>100</v>
      </c>
      <c r="N44" s="30">
        <v>97</v>
      </c>
      <c r="O44" s="26">
        <f t="shared" si="1"/>
        <v>85.3</v>
      </c>
    </row>
    <row r="45" spans="1:15" s="33" customFormat="1" ht="13.5" customHeight="1" x14ac:dyDescent="0.3">
      <c r="A45" s="17"/>
      <c r="B45" s="31"/>
      <c r="C45" s="2"/>
      <c r="D45" s="17"/>
      <c r="E45" s="32" t="str">
        <f>IF(E44&gt;=90,"A",IF(E44&gt;=80,"B",IF(E44&gt;=70,"C",IF(E44&gt;=60,"D","F"))))</f>
        <v>D</v>
      </c>
      <c r="F45" s="32" t="str">
        <f t="shared" si="0"/>
        <v>D</v>
      </c>
      <c r="G45" s="32" t="str">
        <f t="shared" si="0"/>
        <v>B</v>
      </c>
      <c r="H45" s="32" t="str">
        <f t="shared" si="0"/>
        <v>C</v>
      </c>
      <c r="I45" s="32" t="str">
        <f t="shared" si="0"/>
        <v>C</v>
      </c>
      <c r="J45" s="32" t="str">
        <f t="shared" si="0"/>
        <v>A</v>
      </c>
      <c r="K45" s="32" t="str">
        <f t="shared" si="0"/>
        <v>A</v>
      </c>
      <c r="L45" s="32" t="str">
        <f t="shared" si="0"/>
        <v>A</v>
      </c>
      <c r="M45" s="32" t="str">
        <f t="shared" si="0"/>
        <v>A</v>
      </c>
      <c r="N45" s="32" t="str">
        <f t="shared" si="0"/>
        <v>A</v>
      </c>
      <c r="O45" s="26"/>
    </row>
    <row r="46" spans="1:15" s="5" customFormat="1" ht="13.5" customHeight="1" x14ac:dyDescent="0.3">
      <c r="A46" s="22">
        <v>22</v>
      </c>
      <c r="B46" s="15" t="s">
        <v>52</v>
      </c>
      <c r="C46" s="2" t="s">
        <v>879</v>
      </c>
      <c r="D46" s="22" t="s">
        <v>375</v>
      </c>
      <c r="E46" s="18">
        <v>72</v>
      </c>
      <c r="F46" s="18">
        <v>74</v>
      </c>
      <c r="G46" s="18">
        <v>82</v>
      </c>
      <c r="H46" s="18">
        <v>86</v>
      </c>
      <c r="I46" s="18">
        <v>90</v>
      </c>
      <c r="J46" s="18">
        <v>100</v>
      </c>
      <c r="K46" s="18">
        <v>98</v>
      </c>
      <c r="L46" s="18">
        <v>98</v>
      </c>
      <c r="M46" s="18">
        <v>100</v>
      </c>
      <c r="N46" s="18">
        <v>100</v>
      </c>
      <c r="O46" s="26">
        <f t="shared" si="1"/>
        <v>90</v>
      </c>
    </row>
    <row r="47" spans="1:15" s="33" customFormat="1" ht="13.5" customHeight="1" x14ac:dyDescent="0.3">
      <c r="A47" s="17"/>
      <c r="B47" s="31"/>
      <c r="C47" s="2"/>
      <c r="D47" s="17"/>
      <c r="E47" s="32" t="str">
        <f>IF(E46&gt;=90,"A",IF(E46&gt;=80,"B",IF(E46&gt;=70,"C",IF(E46&gt;=60,"D","F"))))</f>
        <v>C</v>
      </c>
      <c r="F47" s="32" t="str">
        <f t="shared" si="0"/>
        <v>C</v>
      </c>
      <c r="G47" s="32" t="str">
        <f t="shared" si="0"/>
        <v>B</v>
      </c>
      <c r="H47" s="32" t="str">
        <f t="shared" si="0"/>
        <v>B</v>
      </c>
      <c r="I47" s="32" t="str">
        <f t="shared" si="0"/>
        <v>A</v>
      </c>
      <c r="J47" s="32" t="str">
        <f t="shared" si="0"/>
        <v>A</v>
      </c>
      <c r="K47" s="32" t="str">
        <f t="shared" si="0"/>
        <v>A</v>
      </c>
      <c r="L47" s="32" t="str">
        <f t="shared" si="0"/>
        <v>A</v>
      </c>
      <c r="M47" s="32" t="str">
        <f t="shared" si="0"/>
        <v>A</v>
      </c>
      <c r="N47" s="32" t="str">
        <f t="shared" si="0"/>
        <v>A</v>
      </c>
      <c r="O47" s="26"/>
    </row>
    <row r="48" spans="1:15" s="5" customFormat="1" ht="13.5" customHeight="1" x14ac:dyDescent="0.3">
      <c r="A48" s="22">
        <v>23</v>
      </c>
      <c r="B48" s="15" t="s">
        <v>100</v>
      </c>
      <c r="C48" s="2" t="s">
        <v>880</v>
      </c>
      <c r="D48" s="22" t="s">
        <v>376</v>
      </c>
      <c r="E48" s="30">
        <v>91</v>
      </c>
      <c r="F48" s="30">
        <v>77</v>
      </c>
      <c r="G48" s="30">
        <v>90</v>
      </c>
      <c r="H48" s="30">
        <v>91</v>
      </c>
      <c r="I48" s="30">
        <v>86</v>
      </c>
      <c r="J48" s="30">
        <v>100</v>
      </c>
      <c r="K48" s="30">
        <v>97</v>
      </c>
      <c r="L48" s="30">
        <v>100</v>
      </c>
      <c r="M48" s="30">
        <v>99</v>
      </c>
      <c r="N48" s="30">
        <v>98</v>
      </c>
      <c r="O48" s="26">
        <f t="shared" si="1"/>
        <v>92.9</v>
      </c>
    </row>
    <row r="49" spans="1:15" s="33" customFormat="1" ht="13.5" customHeight="1" x14ac:dyDescent="0.3">
      <c r="A49" s="17"/>
      <c r="B49" s="31"/>
      <c r="C49" s="2"/>
      <c r="D49" s="17"/>
      <c r="E49" s="32" t="str">
        <f>IF(E48&gt;=90,"A",IF(E48&gt;=80,"B",IF(E48&gt;=70,"C",IF(E48&gt;=60,"D","F"))))</f>
        <v>A</v>
      </c>
      <c r="F49" s="32" t="str">
        <f t="shared" si="0"/>
        <v>C</v>
      </c>
      <c r="G49" s="32" t="str">
        <f t="shared" si="0"/>
        <v>A</v>
      </c>
      <c r="H49" s="32" t="str">
        <f t="shared" si="0"/>
        <v>A</v>
      </c>
      <c r="I49" s="32" t="str">
        <f t="shared" si="0"/>
        <v>B</v>
      </c>
      <c r="J49" s="32" t="str">
        <f t="shared" si="0"/>
        <v>A</v>
      </c>
      <c r="K49" s="32" t="str">
        <f t="shared" si="0"/>
        <v>A</v>
      </c>
      <c r="L49" s="32" t="str">
        <f t="shared" si="0"/>
        <v>A</v>
      </c>
      <c r="M49" s="32" t="str">
        <f t="shared" si="0"/>
        <v>A</v>
      </c>
      <c r="N49" s="32" t="str">
        <f t="shared" si="0"/>
        <v>A</v>
      </c>
      <c r="O49" s="26"/>
    </row>
    <row r="50" spans="1:15" s="5" customFormat="1" ht="13.5" customHeight="1" x14ac:dyDescent="0.3">
      <c r="A50" s="22">
        <v>24</v>
      </c>
      <c r="B50" s="15" t="s">
        <v>101</v>
      </c>
      <c r="C50" s="2" t="s">
        <v>881</v>
      </c>
      <c r="D50" s="22" t="s">
        <v>376</v>
      </c>
      <c r="E50" s="18">
        <v>100</v>
      </c>
      <c r="F50" s="18">
        <v>98</v>
      </c>
      <c r="G50" s="18">
        <v>95</v>
      </c>
      <c r="H50" s="18">
        <v>98</v>
      </c>
      <c r="I50" s="18">
        <v>97</v>
      </c>
      <c r="J50" s="18">
        <v>100</v>
      </c>
      <c r="K50" s="18">
        <v>98</v>
      </c>
      <c r="L50" s="18">
        <v>100</v>
      </c>
      <c r="M50" s="18">
        <v>98</v>
      </c>
      <c r="N50" s="18">
        <v>100</v>
      </c>
      <c r="O50" s="26">
        <f t="shared" si="1"/>
        <v>98.4</v>
      </c>
    </row>
    <row r="51" spans="1:15" s="33" customFormat="1" ht="13.5" customHeight="1" x14ac:dyDescent="0.3">
      <c r="A51" s="17"/>
      <c r="B51" s="31"/>
      <c r="C51" s="2"/>
      <c r="D51" s="17"/>
      <c r="E51" s="32" t="str">
        <f>IF(E50&gt;=90,"A",IF(E50&gt;=80,"B",IF(E50&gt;=70,"C",IF(E50&gt;=60,"D","F"))))</f>
        <v>A</v>
      </c>
      <c r="F51" s="32" t="str">
        <f t="shared" si="0"/>
        <v>A</v>
      </c>
      <c r="G51" s="32" t="str">
        <f t="shared" si="0"/>
        <v>A</v>
      </c>
      <c r="H51" s="32" t="str">
        <f t="shared" si="0"/>
        <v>A</v>
      </c>
      <c r="I51" s="32" t="str">
        <f t="shared" si="0"/>
        <v>A</v>
      </c>
      <c r="J51" s="32" t="str">
        <f t="shared" si="0"/>
        <v>A</v>
      </c>
      <c r="K51" s="32" t="str">
        <f t="shared" si="0"/>
        <v>A</v>
      </c>
      <c r="L51" s="32" t="str">
        <f t="shared" si="0"/>
        <v>A</v>
      </c>
      <c r="M51" s="32" t="str">
        <f t="shared" si="0"/>
        <v>A</v>
      </c>
      <c r="N51" s="32" t="str">
        <f t="shared" si="0"/>
        <v>A</v>
      </c>
      <c r="O51" s="26"/>
    </row>
    <row r="52" spans="1:15" s="5" customFormat="1" ht="13.5" customHeight="1" x14ac:dyDescent="0.3">
      <c r="A52" s="22">
        <v>25</v>
      </c>
      <c r="B52" s="15" t="s">
        <v>102</v>
      </c>
      <c r="C52" s="2" t="s">
        <v>882</v>
      </c>
      <c r="D52" s="10" t="s">
        <v>375</v>
      </c>
      <c r="E52" s="30">
        <v>90</v>
      </c>
      <c r="F52" s="30">
        <v>92</v>
      </c>
      <c r="G52" s="30">
        <v>67</v>
      </c>
      <c r="H52" s="30">
        <v>86</v>
      </c>
      <c r="I52" s="30">
        <v>85</v>
      </c>
      <c r="J52" s="30">
        <v>96</v>
      </c>
      <c r="K52" s="30">
        <v>98</v>
      </c>
      <c r="L52" s="30">
        <v>92</v>
      </c>
      <c r="M52" s="30">
        <v>100</v>
      </c>
      <c r="N52" s="30">
        <v>100</v>
      </c>
      <c r="O52" s="26">
        <f t="shared" si="1"/>
        <v>90.6</v>
      </c>
    </row>
    <row r="53" spans="1:15" s="33" customFormat="1" ht="13.5" customHeight="1" x14ac:dyDescent="0.3">
      <c r="A53" s="17"/>
      <c r="B53" s="31"/>
      <c r="C53" s="2"/>
      <c r="D53" s="34"/>
      <c r="E53" s="32" t="str">
        <f>IF(E52&gt;=90,"A",IF(E52&gt;=80,"B",IF(E52&gt;=70,"C",IF(E52&gt;=60,"D","F"))))</f>
        <v>A</v>
      </c>
      <c r="F53" s="32" t="str">
        <f t="shared" si="0"/>
        <v>A</v>
      </c>
      <c r="G53" s="32" t="str">
        <f t="shared" si="0"/>
        <v>D</v>
      </c>
      <c r="H53" s="32" t="str">
        <f t="shared" si="0"/>
        <v>B</v>
      </c>
      <c r="I53" s="32" t="str">
        <f t="shared" si="0"/>
        <v>B</v>
      </c>
      <c r="J53" s="32" t="str">
        <f t="shared" si="0"/>
        <v>A</v>
      </c>
      <c r="K53" s="32" t="str">
        <f t="shared" si="0"/>
        <v>A</v>
      </c>
      <c r="L53" s="32" t="str">
        <f t="shared" si="0"/>
        <v>A</v>
      </c>
      <c r="M53" s="32" t="str">
        <f t="shared" si="0"/>
        <v>A</v>
      </c>
      <c r="N53" s="32" t="str">
        <f t="shared" si="0"/>
        <v>A</v>
      </c>
      <c r="O53" s="26"/>
    </row>
    <row r="54" spans="1:15" s="5" customFormat="1" ht="13.5" customHeight="1" x14ac:dyDescent="0.3">
      <c r="A54" s="22">
        <v>26</v>
      </c>
      <c r="B54" s="15" t="s">
        <v>103</v>
      </c>
      <c r="C54" s="2" t="s">
        <v>883</v>
      </c>
      <c r="D54" s="10" t="s">
        <v>375</v>
      </c>
      <c r="E54" s="18">
        <v>88</v>
      </c>
      <c r="F54" s="18">
        <v>98</v>
      </c>
      <c r="G54" s="18">
        <v>93</v>
      </c>
      <c r="H54" s="18">
        <v>93</v>
      </c>
      <c r="I54" s="18">
        <v>90</v>
      </c>
      <c r="J54" s="18">
        <v>100</v>
      </c>
      <c r="K54" s="18">
        <v>99</v>
      </c>
      <c r="L54" s="18">
        <v>100</v>
      </c>
      <c r="M54" s="18">
        <v>99</v>
      </c>
      <c r="N54" s="18">
        <v>100</v>
      </c>
      <c r="O54" s="26">
        <f t="shared" si="1"/>
        <v>96</v>
      </c>
    </row>
    <row r="55" spans="1:15" s="33" customFormat="1" ht="13.5" customHeight="1" x14ac:dyDescent="0.3">
      <c r="A55" s="17"/>
      <c r="B55" s="31"/>
      <c r="C55" s="2"/>
      <c r="D55" s="34"/>
      <c r="E55" s="32" t="str">
        <f>IF(E54&gt;=90,"A",IF(E54&gt;=80,"B",IF(E54&gt;=70,"C",IF(E54&gt;=60,"D","F"))))</f>
        <v>B</v>
      </c>
      <c r="F55" s="32" t="str">
        <f t="shared" si="0"/>
        <v>A</v>
      </c>
      <c r="G55" s="32" t="str">
        <f t="shared" si="0"/>
        <v>A</v>
      </c>
      <c r="H55" s="32" t="str">
        <f t="shared" si="0"/>
        <v>A</v>
      </c>
      <c r="I55" s="32" t="str">
        <f t="shared" si="0"/>
        <v>A</v>
      </c>
      <c r="J55" s="32" t="str">
        <f t="shared" si="0"/>
        <v>A</v>
      </c>
      <c r="K55" s="32" t="str">
        <f t="shared" si="0"/>
        <v>A</v>
      </c>
      <c r="L55" s="32" t="str">
        <f t="shared" si="0"/>
        <v>A</v>
      </c>
      <c r="M55" s="32" t="str">
        <f t="shared" si="0"/>
        <v>A</v>
      </c>
      <c r="N55" s="32" t="str">
        <f t="shared" si="0"/>
        <v>A</v>
      </c>
      <c r="O55" s="26"/>
    </row>
    <row r="56" spans="1:15" s="5" customFormat="1" ht="13.5" customHeight="1" x14ac:dyDescent="0.3">
      <c r="A56" s="22">
        <v>27</v>
      </c>
      <c r="B56" s="15" t="s">
        <v>53</v>
      </c>
      <c r="C56" s="2" t="s">
        <v>884</v>
      </c>
      <c r="D56" s="10" t="s">
        <v>376</v>
      </c>
      <c r="E56" s="30">
        <v>94</v>
      </c>
      <c r="F56" s="30">
        <v>81</v>
      </c>
      <c r="G56" s="30">
        <v>95</v>
      </c>
      <c r="H56" s="30">
        <v>97</v>
      </c>
      <c r="I56" s="30">
        <v>90</v>
      </c>
      <c r="J56" s="30">
        <v>100</v>
      </c>
      <c r="K56" s="30">
        <v>99</v>
      </c>
      <c r="L56" s="30">
        <v>95</v>
      </c>
      <c r="M56" s="30">
        <v>100</v>
      </c>
      <c r="N56" s="30">
        <v>98</v>
      </c>
      <c r="O56" s="26">
        <f t="shared" si="1"/>
        <v>94.9</v>
      </c>
    </row>
    <row r="57" spans="1:15" s="37" customFormat="1" ht="15.75" x14ac:dyDescent="0.3">
      <c r="A57" s="35"/>
      <c r="B57" s="19"/>
      <c r="C57" s="28"/>
      <c r="D57" s="36"/>
      <c r="E57" s="32" t="str">
        <f>IF(E56&gt;=90,"A",IF(E56&gt;=80,"B",IF(E56&gt;=70,"C",IF(E56&gt;=60,"D","F"))))</f>
        <v>A</v>
      </c>
      <c r="F57" s="32" t="str">
        <f t="shared" si="0"/>
        <v>B</v>
      </c>
      <c r="G57" s="32" t="str">
        <f t="shared" si="0"/>
        <v>A</v>
      </c>
      <c r="H57" s="32" t="str">
        <f t="shared" si="0"/>
        <v>A</v>
      </c>
      <c r="I57" s="32" t="str">
        <f t="shared" si="0"/>
        <v>A</v>
      </c>
      <c r="J57" s="32" t="str">
        <f t="shared" si="0"/>
        <v>A</v>
      </c>
      <c r="K57" s="32" t="str">
        <f t="shared" si="0"/>
        <v>A</v>
      </c>
      <c r="L57" s="32" t="str">
        <f t="shared" si="0"/>
        <v>A</v>
      </c>
      <c r="M57" s="32" t="str">
        <f t="shared" si="0"/>
        <v>A</v>
      </c>
      <c r="N57" s="32" t="str">
        <f t="shared" si="0"/>
        <v>A</v>
      </c>
      <c r="O57" s="26"/>
    </row>
    <row r="58" spans="1:15" x14ac:dyDescent="0.25">
      <c r="A58" s="25">
        <v>28</v>
      </c>
      <c r="B58" s="20" t="s">
        <v>455</v>
      </c>
      <c r="D58" s="6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</sheetData>
  <sheetProtection formatCells="0" formatColumns="0" formatRows="0" insertColumns="0" insertRows="0" insertHyperlinks="0" deleteColumns="0" deleteRows="0" sort="0" autoFilter="0" pivotTables="0"/>
  <autoFilter ref="A1:D56" xr:uid="{00000000-0009-0000-0000-000002000000}">
    <filterColumn colId="0" showButton="0"/>
  </autoFilter>
  <mergeCells count="1">
    <mergeCell ref="A1:B2"/>
  </mergeCells>
  <pageMargins left="0.23" right="0.17" top="0.83" bottom="0" header="0.17" footer="0.3"/>
  <pageSetup paperSize="9" orientation="landscape" r:id="rId1"/>
  <headerFooter>
    <oddFooter xml:space="preserve">&amp;C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3"/>
  <sheetViews>
    <sheetView zoomScaleNormal="100" workbookViewId="0">
      <selection activeCell="J3" sqref="J3"/>
    </sheetView>
  </sheetViews>
  <sheetFormatPr defaultRowHeight="15" x14ac:dyDescent="0.25"/>
  <cols>
    <col min="1" max="1" width="4" style="13" customWidth="1"/>
    <col min="2" max="2" width="24.7109375" style="28" customWidth="1"/>
    <col min="3" max="3" width="11.140625" style="28" bestFit="1" customWidth="1"/>
    <col min="4" max="4" width="6" style="49" customWidth="1"/>
    <col min="5" max="5" width="8.28515625" style="51" customWidth="1"/>
    <col min="6" max="6" width="9" style="51" customWidth="1"/>
    <col min="7" max="7" width="12.42578125" style="51" bestFit="1" customWidth="1"/>
    <col min="8" max="8" width="9.42578125" style="51" customWidth="1"/>
    <col min="9" max="9" width="13.28515625" style="51" bestFit="1" customWidth="1"/>
    <col min="10" max="10" width="9.42578125" style="51" customWidth="1"/>
    <col min="11" max="15" width="10.28515625" style="51" customWidth="1"/>
    <col min="16" max="16384" width="9.140625" style="2"/>
  </cols>
  <sheetData>
    <row r="1" spans="1:15" ht="6" customHeight="1" x14ac:dyDescent="0.25">
      <c r="A1" s="85" t="s">
        <v>482</v>
      </c>
      <c r="B1" s="86"/>
      <c r="C1" s="80"/>
    </row>
    <row r="2" spans="1:15" ht="10.5" customHeight="1" x14ac:dyDescent="0.25">
      <c r="A2" s="87"/>
      <c r="B2" s="88"/>
      <c r="C2" s="80"/>
    </row>
    <row r="3" spans="1:15" ht="15.75" customHeight="1" x14ac:dyDescent="0.25">
      <c r="A3" s="23" t="s">
        <v>0</v>
      </c>
      <c r="B3" s="24" t="s">
        <v>1</v>
      </c>
      <c r="C3" s="24"/>
      <c r="D3" s="50" t="s">
        <v>2</v>
      </c>
      <c r="E3" s="52" t="s">
        <v>829</v>
      </c>
      <c r="F3" s="52" t="s">
        <v>427</v>
      </c>
      <c r="G3" s="52" t="s">
        <v>456</v>
      </c>
      <c r="H3" s="52" t="s">
        <v>423</v>
      </c>
      <c r="I3" s="52" t="s">
        <v>827</v>
      </c>
      <c r="J3" s="52" t="s">
        <v>432</v>
      </c>
      <c r="K3" s="52" t="s">
        <v>445</v>
      </c>
      <c r="L3" s="52" t="s">
        <v>424</v>
      </c>
      <c r="M3" s="52" t="s">
        <v>425</v>
      </c>
      <c r="N3" s="52" t="s">
        <v>438</v>
      </c>
      <c r="O3" s="52" t="s">
        <v>428</v>
      </c>
    </row>
    <row r="4" spans="1:15" s="5" customFormat="1" ht="13.5" customHeight="1" x14ac:dyDescent="0.3">
      <c r="A4" s="22">
        <v>1</v>
      </c>
      <c r="B4" s="15" t="s">
        <v>104</v>
      </c>
      <c r="C4" s="2" t="s">
        <v>457</v>
      </c>
      <c r="D4" s="4" t="s">
        <v>376</v>
      </c>
      <c r="E4" s="30">
        <v>93</v>
      </c>
      <c r="F4" s="30">
        <v>98</v>
      </c>
      <c r="G4" s="30">
        <v>91</v>
      </c>
      <c r="H4" s="30">
        <v>96</v>
      </c>
      <c r="I4" s="30">
        <v>94</v>
      </c>
      <c r="J4" s="30">
        <v>100</v>
      </c>
      <c r="K4" s="30">
        <v>96</v>
      </c>
      <c r="L4" s="30">
        <v>98</v>
      </c>
      <c r="M4" s="30">
        <v>98</v>
      </c>
      <c r="N4" s="30">
        <v>99</v>
      </c>
      <c r="O4" s="53">
        <f>AVERAGE(E4:M4)</f>
        <v>96</v>
      </c>
    </row>
    <row r="5" spans="1:15" s="5" customFormat="1" ht="13.5" customHeight="1" x14ac:dyDescent="0.3">
      <c r="A5" s="22"/>
      <c r="B5" s="15"/>
      <c r="C5" s="2"/>
      <c r="D5" s="4"/>
      <c r="E5" s="30" t="str">
        <f>IF(E4&gt;=90,"A",IF(E4&gt;=80,"B",IF(E4&gt;=70,"C",IF(E4&gt;=60,"D","F"))))</f>
        <v>A</v>
      </c>
      <c r="F5" s="30" t="str">
        <f t="shared" ref="F5:N5" si="0">IF(F4&gt;=90,"A",IF(F4&gt;=80,"B",IF(F4&gt;=70,"C",IF(F4&gt;=60,"D","F"))))</f>
        <v>A</v>
      </c>
      <c r="G5" s="30" t="str">
        <f t="shared" si="0"/>
        <v>A</v>
      </c>
      <c r="H5" s="30" t="str">
        <f t="shared" si="0"/>
        <v>A</v>
      </c>
      <c r="I5" s="30" t="str">
        <f t="shared" si="0"/>
        <v>A</v>
      </c>
      <c r="J5" s="30" t="str">
        <f t="shared" si="0"/>
        <v>A</v>
      </c>
      <c r="K5" s="30" t="str">
        <f t="shared" si="0"/>
        <v>A</v>
      </c>
      <c r="L5" s="30" t="str">
        <f t="shared" si="0"/>
        <v>A</v>
      </c>
      <c r="M5" s="30" t="str">
        <f t="shared" si="0"/>
        <v>A</v>
      </c>
      <c r="N5" s="30" t="str">
        <f t="shared" si="0"/>
        <v>A</v>
      </c>
      <c r="O5" s="53"/>
    </row>
    <row r="6" spans="1:15" s="5" customFormat="1" ht="13.5" customHeight="1" x14ac:dyDescent="0.3">
      <c r="A6" s="22">
        <v>2</v>
      </c>
      <c r="B6" s="15" t="s">
        <v>105</v>
      </c>
      <c r="C6" s="2" t="s">
        <v>458</v>
      </c>
      <c r="D6" s="4" t="s">
        <v>375</v>
      </c>
      <c r="E6" s="30">
        <v>70.5</v>
      </c>
      <c r="F6" s="30">
        <v>85</v>
      </c>
      <c r="G6" s="30">
        <v>70</v>
      </c>
      <c r="H6" s="30">
        <v>80</v>
      </c>
      <c r="I6" s="30">
        <v>83</v>
      </c>
      <c r="J6" s="30">
        <v>97</v>
      </c>
      <c r="K6" s="30">
        <v>98</v>
      </c>
      <c r="L6" s="30">
        <v>87</v>
      </c>
      <c r="M6" s="30">
        <v>97</v>
      </c>
      <c r="N6" s="30">
        <v>96</v>
      </c>
      <c r="O6" s="53">
        <f t="shared" ref="O6:O50" si="1">AVERAGE(E6:M6)</f>
        <v>85.277777777777771</v>
      </c>
    </row>
    <row r="7" spans="1:15" s="5" customFormat="1" ht="13.5" customHeight="1" x14ac:dyDescent="0.3">
      <c r="A7" s="22"/>
      <c r="B7" s="15"/>
      <c r="C7" s="2"/>
      <c r="D7" s="4"/>
      <c r="E7" s="30" t="str">
        <f>IF(E6&gt;=90,"A",IF(E6&gt;=80,"B",IF(E6&gt;=70,"C",IF(E6&gt;=60,"D","F"))))</f>
        <v>C</v>
      </c>
      <c r="F7" s="30" t="str">
        <f t="shared" ref="F7:N7" si="2">IF(F6&gt;=90,"A",IF(F6&gt;=80,"B",IF(F6&gt;=70,"C",IF(F6&gt;=60,"D","F"))))</f>
        <v>B</v>
      </c>
      <c r="G7" s="30" t="str">
        <f t="shared" si="2"/>
        <v>C</v>
      </c>
      <c r="H7" s="30" t="str">
        <f t="shared" si="2"/>
        <v>B</v>
      </c>
      <c r="I7" s="30" t="str">
        <f t="shared" si="2"/>
        <v>B</v>
      </c>
      <c r="J7" s="30" t="str">
        <f t="shared" si="2"/>
        <v>A</v>
      </c>
      <c r="K7" s="30" t="str">
        <f t="shared" si="2"/>
        <v>A</v>
      </c>
      <c r="L7" s="30" t="str">
        <f t="shared" si="2"/>
        <v>B</v>
      </c>
      <c r="M7" s="30" t="str">
        <f t="shared" si="2"/>
        <v>A</v>
      </c>
      <c r="N7" s="30" t="str">
        <f t="shared" si="2"/>
        <v>A</v>
      </c>
      <c r="O7" s="53"/>
    </row>
    <row r="8" spans="1:15" s="5" customFormat="1" ht="13.5" customHeight="1" x14ac:dyDescent="0.3">
      <c r="A8" s="22">
        <v>3</v>
      </c>
      <c r="B8" s="15" t="s">
        <v>421</v>
      </c>
      <c r="C8" s="2" t="s">
        <v>459</v>
      </c>
      <c r="D8" s="4" t="s">
        <v>375</v>
      </c>
      <c r="E8" s="30">
        <v>72.5</v>
      </c>
      <c r="F8" s="30">
        <v>88</v>
      </c>
      <c r="G8" s="30">
        <v>80.5</v>
      </c>
      <c r="H8" s="30">
        <v>84</v>
      </c>
      <c r="I8" s="30">
        <v>86.5</v>
      </c>
      <c r="J8" s="30">
        <v>96</v>
      </c>
      <c r="K8" s="30">
        <v>99</v>
      </c>
      <c r="L8" s="30">
        <v>98</v>
      </c>
      <c r="M8" s="30">
        <v>100</v>
      </c>
      <c r="N8" s="30">
        <v>95</v>
      </c>
      <c r="O8" s="53">
        <f t="shared" si="1"/>
        <v>89.388888888888886</v>
      </c>
    </row>
    <row r="9" spans="1:15" s="5" customFormat="1" ht="13.5" customHeight="1" x14ac:dyDescent="0.3">
      <c r="A9" s="22"/>
      <c r="B9" s="15"/>
      <c r="C9" s="2"/>
      <c r="D9" s="4"/>
      <c r="E9" s="30" t="str">
        <f>IF(E8&gt;=90,"A",IF(E8&gt;=80,"B",IF(E8&gt;=70,"C",IF(E8&gt;=60,"D","F"))))</f>
        <v>C</v>
      </c>
      <c r="F9" s="30" t="str">
        <f t="shared" ref="F9:N9" si="3">IF(F8&gt;=90,"A",IF(F8&gt;=80,"B",IF(F8&gt;=70,"C",IF(F8&gt;=60,"D","F"))))</f>
        <v>B</v>
      </c>
      <c r="G9" s="30" t="str">
        <f t="shared" si="3"/>
        <v>B</v>
      </c>
      <c r="H9" s="30" t="str">
        <f t="shared" si="3"/>
        <v>B</v>
      </c>
      <c r="I9" s="30" t="str">
        <f t="shared" si="3"/>
        <v>B</v>
      </c>
      <c r="J9" s="30" t="str">
        <f t="shared" si="3"/>
        <v>A</v>
      </c>
      <c r="K9" s="30" t="str">
        <f t="shared" si="3"/>
        <v>A</v>
      </c>
      <c r="L9" s="30" t="str">
        <f t="shared" si="3"/>
        <v>A</v>
      </c>
      <c r="M9" s="30" t="str">
        <f t="shared" si="3"/>
        <v>A</v>
      </c>
      <c r="N9" s="30" t="str">
        <f t="shared" si="3"/>
        <v>A</v>
      </c>
      <c r="O9" s="53"/>
    </row>
    <row r="10" spans="1:15" s="5" customFormat="1" ht="13.5" customHeight="1" x14ac:dyDescent="0.3">
      <c r="A10" s="22">
        <v>4</v>
      </c>
      <c r="B10" s="15" t="s">
        <v>106</v>
      </c>
      <c r="C10" s="2" t="s">
        <v>460</v>
      </c>
      <c r="D10" s="4" t="s">
        <v>375</v>
      </c>
      <c r="E10" s="30">
        <v>97.5</v>
      </c>
      <c r="F10" s="30">
        <v>95</v>
      </c>
      <c r="G10" s="30">
        <v>90</v>
      </c>
      <c r="H10" s="30">
        <v>96.5</v>
      </c>
      <c r="I10" s="30">
        <v>95</v>
      </c>
      <c r="J10" s="30">
        <v>96</v>
      </c>
      <c r="K10" s="30">
        <v>100</v>
      </c>
      <c r="L10" s="30">
        <v>91</v>
      </c>
      <c r="M10" s="30">
        <v>100</v>
      </c>
      <c r="N10" s="30">
        <v>96</v>
      </c>
      <c r="O10" s="53">
        <f t="shared" si="1"/>
        <v>95.666666666666671</v>
      </c>
    </row>
    <row r="11" spans="1:15" s="5" customFormat="1" ht="13.5" customHeight="1" x14ac:dyDescent="0.3">
      <c r="A11" s="22"/>
      <c r="B11" s="15"/>
      <c r="C11" s="2"/>
      <c r="D11" s="4"/>
      <c r="E11" s="30" t="str">
        <f>IF(E10&gt;=90,"A",IF(E10&gt;=80,"B",IF(E10&gt;=70,"C",IF(E10&gt;=60,"D","F"))))</f>
        <v>A</v>
      </c>
      <c r="F11" s="30" t="str">
        <f t="shared" ref="F11:N11" si="4">IF(F10&gt;=90,"A",IF(F10&gt;=80,"B",IF(F10&gt;=70,"C",IF(F10&gt;=60,"D","F"))))</f>
        <v>A</v>
      </c>
      <c r="G11" s="30" t="str">
        <f t="shared" si="4"/>
        <v>A</v>
      </c>
      <c r="H11" s="30" t="str">
        <f t="shared" si="4"/>
        <v>A</v>
      </c>
      <c r="I11" s="30" t="str">
        <f t="shared" si="4"/>
        <v>A</v>
      </c>
      <c r="J11" s="30" t="str">
        <f t="shared" si="4"/>
        <v>A</v>
      </c>
      <c r="K11" s="30" t="str">
        <f t="shared" si="4"/>
        <v>A</v>
      </c>
      <c r="L11" s="30" t="str">
        <f t="shared" si="4"/>
        <v>A</v>
      </c>
      <c r="M11" s="30" t="str">
        <f t="shared" si="4"/>
        <v>A</v>
      </c>
      <c r="N11" s="30" t="str">
        <f t="shared" si="4"/>
        <v>A</v>
      </c>
      <c r="O11" s="53"/>
    </row>
    <row r="12" spans="1:15" s="5" customFormat="1" ht="13.5" customHeight="1" x14ac:dyDescent="0.3">
      <c r="A12" s="22">
        <v>5</v>
      </c>
      <c r="B12" s="15" t="s">
        <v>107</v>
      </c>
      <c r="C12" s="2" t="s">
        <v>461</v>
      </c>
      <c r="D12" s="4" t="s">
        <v>376</v>
      </c>
      <c r="E12" s="30">
        <v>63</v>
      </c>
      <c r="F12" s="30">
        <v>76</v>
      </c>
      <c r="G12" s="30">
        <v>64</v>
      </c>
      <c r="H12" s="30">
        <v>62.5</v>
      </c>
      <c r="I12" s="30">
        <v>73</v>
      </c>
      <c r="J12" s="30">
        <v>100</v>
      </c>
      <c r="K12" s="30">
        <v>98</v>
      </c>
      <c r="L12" s="30">
        <v>81</v>
      </c>
      <c r="M12" s="30">
        <v>100</v>
      </c>
      <c r="N12" s="30">
        <v>93</v>
      </c>
      <c r="O12" s="53">
        <f t="shared" si="1"/>
        <v>79.722222222222229</v>
      </c>
    </row>
    <row r="13" spans="1:15" s="5" customFormat="1" ht="13.5" customHeight="1" x14ac:dyDescent="0.3">
      <c r="A13" s="22"/>
      <c r="B13" s="15"/>
      <c r="C13" s="2"/>
      <c r="D13" s="4"/>
      <c r="E13" s="30" t="str">
        <f>IF(E12&gt;=90,"A",IF(E12&gt;=80,"B",IF(E12&gt;=70,"C",IF(E12&gt;=60,"D","F"))))</f>
        <v>D</v>
      </c>
      <c r="F13" s="30" t="str">
        <f t="shared" ref="F13:N13" si="5">IF(F12&gt;=90,"A",IF(F12&gt;=80,"B",IF(F12&gt;=70,"C",IF(F12&gt;=60,"D","F"))))</f>
        <v>C</v>
      </c>
      <c r="G13" s="30" t="str">
        <f t="shared" si="5"/>
        <v>D</v>
      </c>
      <c r="H13" s="30" t="str">
        <f t="shared" si="5"/>
        <v>D</v>
      </c>
      <c r="I13" s="30" t="str">
        <f t="shared" si="5"/>
        <v>C</v>
      </c>
      <c r="J13" s="30" t="str">
        <f t="shared" si="5"/>
        <v>A</v>
      </c>
      <c r="K13" s="30" t="str">
        <f t="shared" si="5"/>
        <v>A</v>
      </c>
      <c r="L13" s="30" t="str">
        <f t="shared" si="5"/>
        <v>B</v>
      </c>
      <c r="M13" s="30" t="str">
        <f t="shared" si="5"/>
        <v>A</v>
      </c>
      <c r="N13" s="30" t="str">
        <f t="shared" si="5"/>
        <v>A</v>
      </c>
      <c r="O13" s="53"/>
    </row>
    <row r="14" spans="1:15" s="5" customFormat="1" ht="13.5" customHeight="1" x14ac:dyDescent="0.3">
      <c r="A14" s="22">
        <v>6</v>
      </c>
      <c r="B14" s="15" t="s">
        <v>108</v>
      </c>
      <c r="C14" s="2" t="s">
        <v>462</v>
      </c>
      <c r="D14" s="4" t="s">
        <v>375</v>
      </c>
      <c r="E14" s="30">
        <v>100</v>
      </c>
      <c r="F14" s="30">
        <v>97</v>
      </c>
      <c r="G14" s="30">
        <v>97</v>
      </c>
      <c r="H14" s="30">
        <v>100</v>
      </c>
      <c r="I14" s="30">
        <v>98</v>
      </c>
      <c r="J14" s="30">
        <v>100</v>
      </c>
      <c r="K14" s="30">
        <v>99</v>
      </c>
      <c r="L14" s="30">
        <v>96</v>
      </c>
      <c r="M14" s="30">
        <v>98</v>
      </c>
      <c r="N14" s="30">
        <v>100</v>
      </c>
      <c r="O14" s="53">
        <f t="shared" si="1"/>
        <v>98.333333333333329</v>
      </c>
    </row>
    <row r="15" spans="1:15" s="5" customFormat="1" ht="13.5" customHeight="1" x14ac:dyDescent="0.3">
      <c r="A15" s="22"/>
      <c r="B15" s="15"/>
      <c r="C15" s="2"/>
      <c r="D15" s="4"/>
      <c r="E15" s="30" t="str">
        <f>IF(E14&gt;=90,"A",IF(E14&gt;=80,"B",IF(E14&gt;=70,"C",IF(E14&gt;=60,"D","F"))))</f>
        <v>A</v>
      </c>
      <c r="F15" s="30" t="str">
        <f t="shared" ref="F15:N15" si="6">IF(F14&gt;=90,"A",IF(F14&gt;=80,"B",IF(F14&gt;=70,"C",IF(F14&gt;=60,"D","F"))))</f>
        <v>A</v>
      </c>
      <c r="G15" s="30" t="str">
        <f t="shared" si="6"/>
        <v>A</v>
      </c>
      <c r="H15" s="30" t="str">
        <f t="shared" si="6"/>
        <v>A</v>
      </c>
      <c r="I15" s="30" t="str">
        <f t="shared" si="6"/>
        <v>A</v>
      </c>
      <c r="J15" s="30" t="str">
        <f t="shared" si="6"/>
        <v>A</v>
      </c>
      <c r="K15" s="30" t="str">
        <f t="shared" si="6"/>
        <v>A</v>
      </c>
      <c r="L15" s="30" t="str">
        <f t="shared" si="6"/>
        <v>A</v>
      </c>
      <c r="M15" s="30" t="str">
        <f t="shared" si="6"/>
        <v>A</v>
      </c>
      <c r="N15" s="30" t="str">
        <f t="shared" si="6"/>
        <v>A</v>
      </c>
      <c r="O15" s="53"/>
    </row>
    <row r="16" spans="1:15" s="5" customFormat="1" ht="13.5" customHeight="1" x14ac:dyDescent="0.3">
      <c r="A16" s="22">
        <v>7</v>
      </c>
      <c r="B16" s="15" t="s">
        <v>109</v>
      </c>
      <c r="C16" s="2" t="s">
        <v>463</v>
      </c>
      <c r="D16" s="4" t="s">
        <v>375</v>
      </c>
      <c r="E16" s="30">
        <v>71.5</v>
      </c>
      <c r="F16" s="57">
        <v>0</v>
      </c>
      <c r="G16" s="30">
        <v>65</v>
      </c>
      <c r="H16" s="30">
        <v>62</v>
      </c>
      <c r="I16" s="30">
        <v>78</v>
      </c>
      <c r="J16" s="30">
        <v>100</v>
      </c>
      <c r="K16" s="30">
        <v>99</v>
      </c>
      <c r="L16" s="30">
        <v>95</v>
      </c>
      <c r="M16" s="30">
        <v>100</v>
      </c>
      <c r="N16" s="30">
        <v>99</v>
      </c>
      <c r="O16" s="53">
        <f>AVERAGE(E16,G16:N16)</f>
        <v>85.5</v>
      </c>
    </row>
    <row r="17" spans="1:15" s="5" customFormat="1" ht="13.5" customHeight="1" x14ac:dyDescent="0.3">
      <c r="A17" s="22"/>
      <c r="B17" s="15"/>
      <c r="C17" s="2"/>
      <c r="D17" s="4"/>
      <c r="E17" s="30" t="str">
        <f>IF(E16&gt;=90,"A",IF(E16&gt;=80,"B",IF(E16&gt;=70,"C",IF(E16&gt;=60,"D","F"))))</f>
        <v>C</v>
      </c>
      <c r="F17" s="57" t="s">
        <v>429</v>
      </c>
      <c r="G17" s="30" t="str">
        <f t="shared" ref="G17:N17" si="7">IF(G16&gt;=90,"A",IF(G16&gt;=80,"B",IF(G16&gt;=70,"C",IF(G16&gt;=60,"D","F"))))</f>
        <v>D</v>
      </c>
      <c r="H17" s="30" t="str">
        <f t="shared" si="7"/>
        <v>D</v>
      </c>
      <c r="I17" s="30" t="str">
        <f t="shared" si="7"/>
        <v>C</v>
      </c>
      <c r="J17" s="30" t="str">
        <f t="shared" si="7"/>
        <v>A</v>
      </c>
      <c r="K17" s="30" t="str">
        <f t="shared" si="7"/>
        <v>A</v>
      </c>
      <c r="L17" s="30" t="str">
        <f t="shared" si="7"/>
        <v>A</v>
      </c>
      <c r="M17" s="30" t="str">
        <f t="shared" si="7"/>
        <v>A</v>
      </c>
      <c r="N17" s="30" t="str">
        <f t="shared" si="7"/>
        <v>A</v>
      </c>
      <c r="O17" s="53"/>
    </row>
    <row r="18" spans="1:15" s="5" customFormat="1" ht="13.5" customHeight="1" x14ac:dyDescent="0.3">
      <c r="A18" s="22">
        <v>8</v>
      </c>
      <c r="B18" s="15" t="s">
        <v>110</v>
      </c>
      <c r="C18" s="2" t="s">
        <v>464</v>
      </c>
      <c r="D18" s="4" t="s">
        <v>375</v>
      </c>
      <c r="E18" s="30">
        <v>83.5</v>
      </c>
      <c r="F18" s="30">
        <v>91</v>
      </c>
      <c r="G18" s="30">
        <v>81</v>
      </c>
      <c r="H18" s="30">
        <v>83.5</v>
      </c>
      <c r="I18" s="30">
        <v>90.5</v>
      </c>
      <c r="J18" s="30">
        <v>98</v>
      </c>
      <c r="K18" s="30">
        <v>99</v>
      </c>
      <c r="L18" s="30">
        <v>98</v>
      </c>
      <c r="M18" s="30">
        <v>98</v>
      </c>
      <c r="N18" s="30">
        <v>100</v>
      </c>
      <c r="O18" s="53">
        <f t="shared" si="1"/>
        <v>91.388888888888886</v>
      </c>
    </row>
    <row r="19" spans="1:15" s="5" customFormat="1" ht="13.5" customHeight="1" x14ac:dyDescent="0.3">
      <c r="A19" s="22"/>
      <c r="B19" s="15"/>
      <c r="C19" s="2"/>
      <c r="D19" s="4"/>
      <c r="E19" s="30" t="str">
        <f>IF(E18&gt;=90,"A",IF(E18&gt;=80,"B",IF(E18&gt;=70,"C",IF(E18&gt;=60,"D","F"))))</f>
        <v>B</v>
      </c>
      <c r="F19" s="30" t="str">
        <f t="shared" ref="F19:N19" si="8">IF(F18&gt;=90,"A",IF(F18&gt;=80,"B",IF(F18&gt;=70,"C",IF(F18&gt;=60,"D","F"))))</f>
        <v>A</v>
      </c>
      <c r="G19" s="30" t="str">
        <f t="shared" si="8"/>
        <v>B</v>
      </c>
      <c r="H19" s="30" t="str">
        <f t="shared" si="8"/>
        <v>B</v>
      </c>
      <c r="I19" s="30" t="str">
        <f t="shared" si="8"/>
        <v>A</v>
      </c>
      <c r="J19" s="30" t="str">
        <f t="shared" si="8"/>
        <v>A</v>
      </c>
      <c r="K19" s="30" t="str">
        <f t="shared" si="8"/>
        <v>A</v>
      </c>
      <c r="L19" s="30" t="str">
        <f t="shared" si="8"/>
        <v>A</v>
      </c>
      <c r="M19" s="30" t="str">
        <f t="shared" si="8"/>
        <v>A</v>
      </c>
      <c r="N19" s="30" t="str">
        <f t="shared" si="8"/>
        <v>A</v>
      </c>
      <c r="O19" s="53"/>
    </row>
    <row r="20" spans="1:15" s="5" customFormat="1" ht="13.5" customHeight="1" x14ac:dyDescent="0.3">
      <c r="A20" s="22">
        <v>9</v>
      </c>
      <c r="B20" s="15" t="s">
        <v>111</v>
      </c>
      <c r="C20" s="2" t="s">
        <v>465</v>
      </c>
      <c r="D20" s="4" t="s">
        <v>375</v>
      </c>
      <c r="E20" s="30">
        <v>94</v>
      </c>
      <c r="F20" s="30">
        <v>96</v>
      </c>
      <c r="G20" s="30">
        <v>90</v>
      </c>
      <c r="H20" s="30">
        <v>97.5</v>
      </c>
      <c r="I20" s="30">
        <v>95.5</v>
      </c>
      <c r="J20" s="30">
        <v>91</v>
      </c>
      <c r="K20" s="30">
        <v>99</v>
      </c>
      <c r="L20" s="30">
        <v>91</v>
      </c>
      <c r="M20" s="30">
        <v>100</v>
      </c>
      <c r="N20" s="30">
        <v>98</v>
      </c>
      <c r="O20" s="53">
        <f t="shared" si="1"/>
        <v>94.888888888888886</v>
      </c>
    </row>
    <row r="21" spans="1:15" s="5" customFormat="1" ht="13.5" customHeight="1" x14ac:dyDescent="0.3">
      <c r="A21" s="22"/>
      <c r="B21" s="15"/>
      <c r="C21" s="2"/>
      <c r="D21" s="4"/>
      <c r="E21" s="30" t="str">
        <f>IF(E20&gt;=90,"A",IF(E20&gt;=80,"B",IF(E20&gt;=70,"C",IF(E20&gt;=60,"D","F"))))</f>
        <v>A</v>
      </c>
      <c r="F21" s="30" t="str">
        <f t="shared" ref="F21:N21" si="9">IF(F20&gt;=90,"A",IF(F20&gt;=80,"B",IF(F20&gt;=70,"C",IF(F20&gt;=60,"D","F"))))</f>
        <v>A</v>
      </c>
      <c r="G21" s="30" t="str">
        <f t="shared" si="9"/>
        <v>A</v>
      </c>
      <c r="H21" s="30" t="str">
        <f t="shared" si="9"/>
        <v>A</v>
      </c>
      <c r="I21" s="30" t="str">
        <f t="shared" si="9"/>
        <v>A</v>
      </c>
      <c r="J21" s="30" t="str">
        <f t="shared" si="9"/>
        <v>A</v>
      </c>
      <c r="K21" s="30" t="str">
        <f t="shared" si="9"/>
        <v>A</v>
      </c>
      <c r="L21" s="30" t="str">
        <f t="shared" si="9"/>
        <v>A</v>
      </c>
      <c r="M21" s="30" t="str">
        <f t="shared" si="9"/>
        <v>A</v>
      </c>
      <c r="N21" s="30" t="str">
        <f t="shared" si="9"/>
        <v>A</v>
      </c>
      <c r="O21" s="53"/>
    </row>
    <row r="22" spans="1:15" s="5" customFormat="1" ht="13.5" customHeight="1" x14ac:dyDescent="0.3">
      <c r="A22" s="22">
        <v>10</v>
      </c>
      <c r="B22" s="15" t="s">
        <v>112</v>
      </c>
      <c r="C22" s="2" t="s">
        <v>466</v>
      </c>
      <c r="D22" s="4" t="s">
        <v>376</v>
      </c>
      <c r="E22" s="54">
        <v>85.5</v>
      </c>
      <c r="F22" s="55">
        <v>92</v>
      </c>
      <c r="G22" s="30">
        <v>82.5</v>
      </c>
      <c r="H22" s="30">
        <v>86</v>
      </c>
      <c r="I22" s="30">
        <v>91</v>
      </c>
      <c r="J22" s="30">
        <v>99</v>
      </c>
      <c r="K22" s="30">
        <v>96</v>
      </c>
      <c r="L22" s="30">
        <v>98</v>
      </c>
      <c r="M22" s="30">
        <v>98</v>
      </c>
      <c r="N22" s="30">
        <v>96</v>
      </c>
      <c r="O22" s="53">
        <f t="shared" si="1"/>
        <v>92</v>
      </c>
    </row>
    <row r="23" spans="1:15" s="5" customFormat="1" ht="13.5" customHeight="1" x14ac:dyDescent="0.3">
      <c r="A23" s="22"/>
      <c r="B23" s="15"/>
      <c r="C23" s="2"/>
      <c r="D23" s="4"/>
      <c r="E23" s="30" t="str">
        <f>IF(E22&gt;=90,"A",IF(E22&gt;=80,"B",IF(E22&gt;=70,"C",IF(E22&gt;=60,"D","F"))))</f>
        <v>B</v>
      </c>
      <c r="F23" s="30" t="str">
        <f t="shared" ref="F23:N23" si="10">IF(F22&gt;=90,"A",IF(F22&gt;=80,"B",IF(F22&gt;=70,"C",IF(F22&gt;=60,"D","F"))))</f>
        <v>A</v>
      </c>
      <c r="G23" s="30" t="str">
        <f t="shared" si="10"/>
        <v>B</v>
      </c>
      <c r="H23" s="30" t="str">
        <f t="shared" si="10"/>
        <v>B</v>
      </c>
      <c r="I23" s="30" t="str">
        <f t="shared" si="10"/>
        <v>A</v>
      </c>
      <c r="J23" s="30" t="str">
        <f t="shared" si="10"/>
        <v>A</v>
      </c>
      <c r="K23" s="30" t="str">
        <f t="shared" si="10"/>
        <v>A</v>
      </c>
      <c r="L23" s="30" t="str">
        <f t="shared" si="10"/>
        <v>A</v>
      </c>
      <c r="M23" s="30" t="str">
        <f t="shared" si="10"/>
        <v>A</v>
      </c>
      <c r="N23" s="30" t="str">
        <f t="shared" si="10"/>
        <v>A</v>
      </c>
      <c r="O23" s="53"/>
    </row>
    <row r="24" spans="1:15" s="5" customFormat="1" ht="13.5" customHeight="1" x14ac:dyDescent="0.3">
      <c r="A24" s="22">
        <v>11</v>
      </c>
      <c r="B24" s="15" t="s">
        <v>113</v>
      </c>
      <c r="C24" s="2" t="s">
        <v>467</v>
      </c>
      <c r="D24" s="4" t="s">
        <v>376</v>
      </c>
      <c r="E24" s="30">
        <v>86</v>
      </c>
      <c r="F24" s="30">
        <v>91</v>
      </c>
      <c r="G24" s="30">
        <v>86.5</v>
      </c>
      <c r="H24" s="30">
        <v>93</v>
      </c>
      <c r="I24" s="30">
        <v>90</v>
      </c>
      <c r="J24" s="30">
        <v>100</v>
      </c>
      <c r="K24" s="30">
        <v>99</v>
      </c>
      <c r="L24" s="30">
        <v>96</v>
      </c>
      <c r="M24" s="30">
        <v>100</v>
      </c>
      <c r="N24" s="30">
        <v>96</v>
      </c>
      <c r="O24" s="53">
        <f t="shared" si="1"/>
        <v>93.5</v>
      </c>
    </row>
    <row r="25" spans="1:15" s="5" customFormat="1" ht="13.5" customHeight="1" x14ac:dyDescent="0.3">
      <c r="A25" s="22"/>
      <c r="B25" s="15"/>
      <c r="C25" s="2"/>
      <c r="D25" s="4"/>
      <c r="E25" s="30" t="str">
        <f>IF(E24&gt;=90,"A",IF(E24&gt;=80,"B",IF(E24&gt;=70,"C",IF(E24&gt;=60,"D","F"))))</f>
        <v>B</v>
      </c>
      <c r="F25" s="30" t="str">
        <f t="shared" ref="F25:N25" si="11">IF(F24&gt;=90,"A",IF(F24&gt;=80,"B",IF(F24&gt;=70,"C",IF(F24&gt;=60,"D","F"))))</f>
        <v>A</v>
      </c>
      <c r="G25" s="30" t="str">
        <f t="shared" si="11"/>
        <v>B</v>
      </c>
      <c r="H25" s="30" t="str">
        <f t="shared" si="11"/>
        <v>A</v>
      </c>
      <c r="I25" s="30" t="str">
        <f t="shared" si="11"/>
        <v>A</v>
      </c>
      <c r="J25" s="30" t="str">
        <f t="shared" si="11"/>
        <v>A</v>
      </c>
      <c r="K25" s="30" t="str">
        <f t="shared" si="11"/>
        <v>A</v>
      </c>
      <c r="L25" s="30" t="str">
        <f t="shared" si="11"/>
        <v>A</v>
      </c>
      <c r="M25" s="30" t="str">
        <f t="shared" si="11"/>
        <v>A</v>
      </c>
      <c r="N25" s="30" t="str">
        <f t="shared" si="11"/>
        <v>A</v>
      </c>
      <c r="O25" s="53"/>
    </row>
    <row r="26" spans="1:15" s="5" customFormat="1" ht="13.5" customHeight="1" x14ac:dyDescent="0.3">
      <c r="A26" s="22">
        <v>12</v>
      </c>
      <c r="B26" s="15" t="s">
        <v>114</v>
      </c>
      <c r="C26" s="2" t="s">
        <v>468</v>
      </c>
      <c r="D26" s="4" t="s">
        <v>375</v>
      </c>
      <c r="E26" s="30">
        <v>100</v>
      </c>
      <c r="F26" s="30">
        <v>95</v>
      </c>
      <c r="G26" s="30">
        <v>91</v>
      </c>
      <c r="H26" s="30">
        <v>95</v>
      </c>
      <c r="I26" s="30">
        <v>96</v>
      </c>
      <c r="J26" s="30">
        <v>100</v>
      </c>
      <c r="K26" s="30">
        <v>100</v>
      </c>
      <c r="L26" s="30">
        <v>100</v>
      </c>
      <c r="M26" s="30">
        <v>98</v>
      </c>
      <c r="N26" s="30">
        <v>100</v>
      </c>
      <c r="O26" s="53">
        <f t="shared" si="1"/>
        <v>97.222222222222229</v>
      </c>
    </row>
    <row r="27" spans="1:15" s="5" customFormat="1" ht="13.5" customHeight="1" x14ac:dyDescent="0.3">
      <c r="A27" s="22"/>
      <c r="B27" s="15"/>
      <c r="C27" s="2"/>
      <c r="D27" s="4"/>
      <c r="E27" s="30" t="str">
        <f>IF(E26&gt;=90,"A",IF(E26&gt;=80,"B",IF(E26&gt;=70,"C",IF(E26&gt;=60,"D","F"))))</f>
        <v>A</v>
      </c>
      <c r="F27" s="30" t="str">
        <f t="shared" ref="F27:N27" si="12">IF(F26&gt;=90,"A",IF(F26&gt;=80,"B",IF(F26&gt;=70,"C",IF(F26&gt;=60,"D","F"))))</f>
        <v>A</v>
      </c>
      <c r="G27" s="30" t="str">
        <f t="shared" si="12"/>
        <v>A</v>
      </c>
      <c r="H27" s="30" t="str">
        <f t="shared" si="12"/>
        <v>A</v>
      </c>
      <c r="I27" s="30" t="str">
        <f t="shared" si="12"/>
        <v>A</v>
      </c>
      <c r="J27" s="30" t="str">
        <f t="shared" si="12"/>
        <v>A</v>
      </c>
      <c r="K27" s="30" t="str">
        <f t="shared" si="12"/>
        <v>A</v>
      </c>
      <c r="L27" s="30" t="str">
        <f t="shared" si="12"/>
        <v>A</v>
      </c>
      <c r="M27" s="30" t="str">
        <f t="shared" si="12"/>
        <v>A</v>
      </c>
      <c r="N27" s="30" t="str">
        <f t="shared" si="12"/>
        <v>A</v>
      </c>
      <c r="O27" s="53"/>
    </row>
    <row r="28" spans="1:15" s="5" customFormat="1" ht="13.5" customHeight="1" x14ac:dyDescent="0.3">
      <c r="A28" s="22">
        <v>13</v>
      </c>
      <c r="B28" s="15" t="s">
        <v>115</v>
      </c>
      <c r="C28" s="2" t="s">
        <v>469</v>
      </c>
      <c r="D28" s="4" t="s">
        <v>375</v>
      </c>
      <c r="E28" s="30">
        <v>91</v>
      </c>
      <c r="F28" s="30">
        <v>99</v>
      </c>
      <c r="G28" s="30">
        <v>93</v>
      </c>
      <c r="H28" s="30">
        <v>93</v>
      </c>
      <c r="I28" s="30">
        <v>92</v>
      </c>
      <c r="J28" s="30">
        <v>97</v>
      </c>
      <c r="K28" s="30">
        <v>99</v>
      </c>
      <c r="L28" s="30">
        <v>100</v>
      </c>
      <c r="M28" s="30">
        <v>97</v>
      </c>
      <c r="N28" s="30">
        <v>100</v>
      </c>
      <c r="O28" s="53">
        <f t="shared" si="1"/>
        <v>95.666666666666671</v>
      </c>
    </row>
    <row r="29" spans="1:15" s="5" customFormat="1" ht="13.5" customHeight="1" x14ac:dyDescent="0.3">
      <c r="A29" s="22"/>
      <c r="B29" s="15"/>
      <c r="C29" s="2"/>
      <c r="D29" s="4"/>
      <c r="E29" s="30" t="str">
        <f>IF(E28&gt;=90,"A",IF(E28&gt;=80,"B",IF(E28&gt;=70,"C",IF(E28&gt;=60,"D","F"))))</f>
        <v>A</v>
      </c>
      <c r="F29" s="30" t="str">
        <f t="shared" ref="F29:N29" si="13">IF(F28&gt;=90,"A",IF(F28&gt;=80,"B",IF(F28&gt;=70,"C",IF(F28&gt;=60,"D","F"))))</f>
        <v>A</v>
      </c>
      <c r="G29" s="30" t="str">
        <f t="shared" si="13"/>
        <v>A</v>
      </c>
      <c r="H29" s="30" t="str">
        <f t="shared" si="13"/>
        <v>A</v>
      </c>
      <c r="I29" s="30" t="str">
        <f t="shared" si="13"/>
        <v>A</v>
      </c>
      <c r="J29" s="30" t="str">
        <f t="shared" si="13"/>
        <v>A</v>
      </c>
      <c r="K29" s="30" t="str">
        <f t="shared" si="13"/>
        <v>A</v>
      </c>
      <c r="L29" s="30" t="str">
        <f t="shared" si="13"/>
        <v>A</v>
      </c>
      <c r="M29" s="30" t="str">
        <f t="shared" si="13"/>
        <v>A</v>
      </c>
      <c r="N29" s="30" t="str">
        <f t="shared" si="13"/>
        <v>A</v>
      </c>
      <c r="O29" s="53"/>
    </row>
    <row r="30" spans="1:15" s="5" customFormat="1" ht="13.5" customHeight="1" x14ac:dyDescent="0.3">
      <c r="A30" s="22">
        <v>14</v>
      </c>
      <c r="B30" s="15" t="s">
        <v>3</v>
      </c>
      <c r="C30" s="2" t="s">
        <v>470</v>
      </c>
      <c r="D30" s="4" t="s">
        <v>376</v>
      </c>
      <c r="E30" s="30">
        <v>70.5</v>
      </c>
      <c r="F30" s="30">
        <v>94</v>
      </c>
      <c r="G30" s="30">
        <v>91</v>
      </c>
      <c r="H30" s="30">
        <v>83</v>
      </c>
      <c r="I30" s="30">
        <v>83.5</v>
      </c>
      <c r="J30" s="30">
        <v>100</v>
      </c>
      <c r="K30" s="30">
        <v>99</v>
      </c>
      <c r="L30" s="30">
        <v>87</v>
      </c>
      <c r="M30" s="30">
        <v>100</v>
      </c>
      <c r="N30" s="30">
        <v>97</v>
      </c>
      <c r="O30" s="53">
        <f t="shared" si="1"/>
        <v>89.777777777777771</v>
      </c>
    </row>
    <row r="31" spans="1:15" s="5" customFormat="1" ht="13.5" customHeight="1" x14ac:dyDescent="0.3">
      <c r="A31" s="22"/>
      <c r="B31" s="15"/>
      <c r="C31" s="2"/>
      <c r="D31" s="4"/>
      <c r="E31" s="30" t="str">
        <f>IF(E30&gt;=90,"A",IF(E30&gt;=80,"B",IF(E30&gt;=70,"C",IF(E30&gt;=60,"D","F"))))</f>
        <v>C</v>
      </c>
      <c r="F31" s="30" t="str">
        <f t="shared" ref="F31:N31" si="14">IF(F30&gt;=90,"A",IF(F30&gt;=80,"B",IF(F30&gt;=70,"C",IF(F30&gt;=60,"D","F"))))</f>
        <v>A</v>
      </c>
      <c r="G31" s="30" t="str">
        <f t="shared" si="14"/>
        <v>A</v>
      </c>
      <c r="H31" s="30" t="str">
        <f t="shared" si="14"/>
        <v>B</v>
      </c>
      <c r="I31" s="30" t="str">
        <f t="shared" si="14"/>
        <v>B</v>
      </c>
      <c r="J31" s="30" t="str">
        <f t="shared" si="14"/>
        <v>A</v>
      </c>
      <c r="K31" s="30" t="str">
        <f t="shared" si="14"/>
        <v>A</v>
      </c>
      <c r="L31" s="30" t="str">
        <f t="shared" si="14"/>
        <v>B</v>
      </c>
      <c r="M31" s="30" t="str">
        <f t="shared" si="14"/>
        <v>A</v>
      </c>
      <c r="N31" s="30" t="str">
        <f t="shared" si="14"/>
        <v>A</v>
      </c>
      <c r="O31" s="53"/>
    </row>
    <row r="32" spans="1:15" s="5" customFormat="1" ht="13.5" customHeight="1" x14ac:dyDescent="0.3">
      <c r="A32" s="22">
        <v>15</v>
      </c>
      <c r="B32" s="15" t="s">
        <v>116</v>
      </c>
      <c r="C32" s="2" t="s">
        <v>471</v>
      </c>
      <c r="D32" s="4" t="s">
        <v>375</v>
      </c>
      <c r="E32" s="30">
        <v>76.5</v>
      </c>
      <c r="F32" s="30">
        <v>84</v>
      </c>
      <c r="G32" s="30">
        <v>77</v>
      </c>
      <c r="H32" s="30">
        <v>80</v>
      </c>
      <c r="I32" s="30">
        <v>80.5</v>
      </c>
      <c r="J32" s="30">
        <v>91</v>
      </c>
      <c r="K32" s="30">
        <v>99</v>
      </c>
      <c r="L32" s="30">
        <v>84</v>
      </c>
      <c r="M32" s="30">
        <v>100</v>
      </c>
      <c r="N32" s="30">
        <v>96</v>
      </c>
      <c r="O32" s="53">
        <f t="shared" si="1"/>
        <v>85.777777777777771</v>
      </c>
    </row>
    <row r="33" spans="1:15" s="5" customFormat="1" ht="13.5" customHeight="1" x14ac:dyDescent="0.3">
      <c r="A33" s="22"/>
      <c r="B33" s="15"/>
      <c r="C33" s="2"/>
      <c r="D33" s="4"/>
      <c r="E33" s="30" t="str">
        <f>IF(E32&gt;=90,"A",IF(E32&gt;=80,"B",IF(E32&gt;=70,"C",IF(E32&gt;=60,"D","F"))))</f>
        <v>C</v>
      </c>
      <c r="F33" s="30" t="str">
        <f t="shared" ref="F33:N33" si="15">IF(F32&gt;=90,"A",IF(F32&gt;=80,"B",IF(F32&gt;=70,"C",IF(F32&gt;=60,"D","F"))))</f>
        <v>B</v>
      </c>
      <c r="G33" s="30" t="str">
        <f t="shared" si="15"/>
        <v>C</v>
      </c>
      <c r="H33" s="30" t="str">
        <f t="shared" si="15"/>
        <v>B</v>
      </c>
      <c r="I33" s="30" t="str">
        <f t="shared" si="15"/>
        <v>B</v>
      </c>
      <c r="J33" s="30" t="str">
        <f t="shared" si="15"/>
        <v>A</v>
      </c>
      <c r="K33" s="30" t="str">
        <f t="shared" si="15"/>
        <v>A</v>
      </c>
      <c r="L33" s="30" t="str">
        <f t="shared" si="15"/>
        <v>B</v>
      </c>
      <c r="M33" s="30" t="str">
        <f t="shared" si="15"/>
        <v>A</v>
      </c>
      <c r="N33" s="30" t="str">
        <f t="shared" si="15"/>
        <v>A</v>
      </c>
      <c r="O33" s="53"/>
    </row>
    <row r="34" spans="1:15" s="5" customFormat="1" ht="13.5" customHeight="1" x14ac:dyDescent="0.3">
      <c r="A34" s="22">
        <v>16</v>
      </c>
      <c r="B34" s="15" t="s">
        <v>117</v>
      </c>
      <c r="C34" s="2" t="s">
        <v>472</v>
      </c>
      <c r="D34" s="4" t="s">
        <v>376</v>
      </c>
      <c r="E34" s="30">
        <v>97</v>
      </c>
      <c r="F34" s="30">
        <v>99</v>
      </c>
      <c r="G34" s="30">
        <v>99.5</v>
      </c>
      <c r="H34" s="30">
        <v>99.5</v>
      </c>
      <c r="I34" s="30">
        <v>100</v>
      </c>
      <c r="J34" s="30">
        <v>100</v>
      </c>
      <c r="K34" s="30">
        <v>99</v>
      </c>
      <c r="L34" s="30">
        <v>98</v>
      </c>
      <c r="M34" s="30">
        <v>99</v>
      </c>
      <c r="N34" s="30">
        <v>100</v>
      </c>
      <c r="O34" s="53">
        <f t="shared" si="1"/>
        <v>99</v>
      </c>
    </row>
    <row r="35" spans="1:15" s="5" customFormat="1" ht="13.5" customHeight="1" x14ac:dyDescent="0.3">
      <c r="A35" s="22"/>
      <c r="B35" s="15"/>
      <c r="C35" s="2"/>
      <c r="D35" s="4"/>
      <c r="E35" s="30" t="str">
        <f>IF(E34&gt;=90,"A",IF(E34&gt;=80,"B",IF(E34&gt;=70,"C",IF(E34&gt;=60,"D","F"))))</f>
        <v>A</v>
      </c>
      <c r="F35" s="30" t="str">
        <f t="shared" ref="F35:N35" si="16">IF(F34&gt;=90,"A",IF(F34&gt;=80,"B",IF(F34&gt;=70,"C",IF(F34&gt;=60,"D","F"))))</f>
        <v>A</v>
      </c>
      <c r="G35" s="30" t="str">
        <f t="shared" si="16"/>
        <v>A</v>
      </c>
      <c r="H35" s="30" t="str">
        <f t="shared" si="16"/>
        <v>A</v>
      </c>
      <c r="I35" s="30" t="str">
        <f t="shared" si="16"/>
        <v>A</v>
      </c>
      <c r="J35" s="30" t="str">
        <f t="shared" si="16"/>
        <v>A</v>
      </c>
      <c r="K35" s="30" t="str">
        <f t="shared" si="16"/>
        <v>A</v>
      </c>
      <c r="L35" s="30" t="str">
        <f t="shared" si="16"/>
        <v>A</v>
      </c>
      <c r="M35" s="30" t="str">
        <f t="shared" si="16"/>
        <v>A</v>
      </c>
      <c r="N35" s="30" t="str">
        <f t="shared" si="16"/>
        <v>A</v>
      </c>
      <c r="O35" s="53"/>
    </row>
    <row r="36" spans="1:15" s="5" customFormat="1" ht="13.5" customHeight="1" x14ac:dyDescent="0.3">
      <c r="A36" s="22">
        <v>17</v>
      </c>
      <c r="B36" s="15" t="s">
        <v>118</v>
      </c>
      <c r="C36" s="2" t="s">
        <v>473</v>
      </c>
      <c r="D36" s="4" t="s">
        <v>376</v>
      </c>
      <c r="E36" s="30">
        <v>90.5</v>
      </c>
      <c r="F36" s="30">
        <v>90</v>
      </c>
      <c r="G36" s="30">
        <v>87.5</v>
      </c>
      <c r="H36" s="30">
        <v>95</v>
      </c>
      <c r="I36" s="30">
        <v>94</v>
      </c>
      <c r="J36" s="30">
        <v>97</v>
      </c>
      <c r="K36" s="30">
        <v>100</v>
      </c>
      <c r="L36" s="30">
        <v>100</v>
      </c>
      <c r="M36" s="30">
        <v>98</v>
      </c>
      <c r="N36" s="30">
        <v>100</v>
      </c>
      <c r="O36" s="53">
        <f t="shared" si="1"/>
        <v>94.666666666666671</v>
      </c>
    </row>
    <row r="37" spans="1:15" s="5" customFormat="1" ht="13.5" customHeight="1" x14ac:dyDescent="0.3">
      <c r="A37" s="22"/>
      <c r="B37" s="15"/>
      <c r="C37" s="2"/>
      <c r="D37" s="4"/>
      <c r="E37" s="30" t="str">
        <f>IF(E36&gt;=90,"A",IF(E36&gt;=80,"B",IF(E36&gt;=70,"C",IF(E36&gt;=60,"D","F"))))</f>
        <v>A</v>
      </c>
      <c r="F37" s="30" t="str">
        <f t="shared" ref="F37:N37" si="17">IF(F36&gt;=90,"A",IF(F36&gt;=80,"B",IF(F36&gt;=70,"C",IF(F36&gt;=60,"D","F"))))</f>
        <v>A</v>
      </c>
      <c r="G37" s="30" t="str">
        <f t="shared" si="17"/>
        <v>B</v>
      </c>
      <c r="H37" s="30" t="str">
        <f t="shared" si="17"/>
        <v>A</v>
      </c>
      <c r="I37" s="30" t="str">
        <f t="shared" si="17"/>
        <v>A</v>
      </c>
      <c r="J37" s="30" t="str">
        <f t="shared" si="17"/>
        <v>A</v>
      </c>
      <c r="K37" s="30" t="str">
        <f t="shared" si="17"/>
        <v>A</v>
      </c>
      <c r="L37" s="30" t="str">
        <f t="shared" si="17"/>
        <v>A</v>
      </c>
      <c r="M37" s="30" t="str">
        <f t="shared" si="17"/>
        <v>A</v>
      </c>
      <c r="N37" s="30" t="str">
        <f t="shared" si="17"/>
        <v>A</v>
      </c>
      <c r="O37" s="53"/>
    </row>
    <row r="38" spans="1:15" s="5" customFormat="1" ht="13.5" customHeight="1" x14ac:dyDescent="0.3">
      <c r="A38" s="22">
        <v>18</v>
      </c>
      <c r="B38" s="15" t="s">
        <v>119</v>
      </c>
      <c r="C38" s="2" t="s">
        <v>474</v>
      </c>
      <c r="D38" s="4" t="s">
        <v>376</v>
      </c>
      <c r="E38" s="30">
        <v>77.5</v>
      </c>
      <c r="F38" s="30">
        <v>91</v>
      </c>
      <c r="G38" s="30">
        <v>77.5</v>
      </c>
      <c r="H38" s="30">
        <v>71</v>
      </c>
      <c r="I38" s="30">
        <v>80</v>
      </c>
      <c r="J38" s="30">
        <v>94</v>
      </c>
      <c r="K38" s="30">
        <v>99</v>
      </c>
      <c r="L38" s="30">
        <v>100</v>
      </c>
      <c r="M38" s="30">
        <v>100</v>
      </c>
      <c r="N38" s="30">
        <v>100</v>
      </c>
      <c r="O38" s="53">
        <f t="shared" si="1"/>
        <v>87.777777777777771</v>
      </c>
    </row>
    <row r="39" spans="1:15" s="5" customFormat="1" ht="13.5" customHeight="1" x14ac:dyDescent="0.3">
      <c r="A39" s="22"/>
      <c r="B39" s="15"/>
      <c r="C39" s="2"/>
      <c r="D39" s="4"/>
      <c r="E39" s="30" t="str">
        <f>IF(E38&gt;=90,"A",IF(E38&gt;=80,"B",IF(E38&gt;=70,"C",IF(E38&gt;=60,"D","F"))))</f>
        <v>C</v>
      </c>
      <c r="F39" s="30" t="str">
        <f t="shared" ref="F39:N39" si="18">IF(F38&gt;=90,"A",IF(F38&gt;=80,"B",IF(F38&gt;=70,"C",IF(F38&gt;=60,"D","F"))))</f>
        <v>A</v>
      </c>
      <c r="G39" s="30" t="str">
        <f t="shared" si="18"/>
        <v>C</v>
      </c>
      <c r="H39" s="30" t="str">
        <f t="shared" si="18"/>
        <v>C</v>
      </c>
      <c r="I39" s="30" t="str">
        <f t="shared" si="18"/>
        <v>B</v>
      </c>
      <c r="J39" s="30" t="str">
        <f t="shared" si="18"/>
        <v>A</v>
      </c>
      <c r="K39" s="30" t="str">
        <f t="shared" si="18"/>
        <v>A</v>
      </c>
      <c r="L39" s="30" t="str">
        <f t="shared" si="18"/>
        <v>A</v>
      </c>
      <c r="M39" s="30" t="str">
        <f t="shared" si="18"/>
        <v>A</v>
      </c>
      <c r="N39" s="30" t="str">
        <f t="shared" si="18"/>
        <v>A</v>
      </c>
      <c r="O39" s="53"/>
    </row>
    <row r="40" spans="1:15" s="5" customFormat="1" ht="13.5" customHeight="1" x14ac:dyDescent="0.3">
      <c r="A40" s="22">
        <v>19</v>
      </c>
      <c r="B40" s="15" t="s">
        <v>120</v>
      </c>
      <c r="C40" s="2" t="s">
        <v>475</v>
      </c>
      <c r="D40" s="4" t="s">
        <v>375</v>
      </c>
      <c r="E40" s="30">
        <v>90.5</v>
      </c>
      <c r="F40" s="30">
        <v>95</v>
      </c>
      <c r="G40" s="30">
        <v>90</v>
      </c>
      <c r="H40" s="30">
        <v>85.5</v>
      </c>
      <c r="I40" s="30">
        <v>93.5</v>
      </c>
      <c r="J40" s="30">
        <v>96</v>
      </c>
      <c r="K40" s="30">
        <v>100</v>
      </c>
      <c r="L40" s="30">
        <v>100</v>
      </c>
      <c r="M40" s="30">
        <v>100</v>
      </c>
      <c r="N40" s="30">
        <v>99</v>
      </c>
      <c r="O40" s="53">
        <f t="shared" si="1"/>
        <v>94.5</v>
      </c>
    </row>
    <row r="41" spans="1:15" s="5" customFormat="1" ht="13.5" customHeight="1" x14ac:dyDescent="0.3">
      <c r="A41" s="22"/>
      <c r="B41" s="15"/>
      <c r="C41" s="2"/>
      <c r="D41" s="4"/>
      <c r="E41" s="30" t="str">
        <f>IF(E40&gt;=90,"A",IF(E40&gt;=80,"B",IF(E40&gt;=70,"C",IF(E40&gt;=60,"D","F"))))</f>
        <v>A</v>
      </c>
      <c r="F41" s="30" t="str">
        <f t="shared" ref="F41:N41" si="19">IF(F40&gt;=90,"A",IF(F40&gt;=80,"B",IF(F40&gt;=70,"C",IF(F40&gt;=60,"D","F"))))</f>
        <v>A</v>
      </c>
      <c r="G41" s="30" t="str">
        <f t="shared" si="19"/>
        <v>A</v>
      </c>
      <c r="H41" s="30" t="str">
        <f t="shared" si="19"/>
        <v>B</v>
      </c>
      <c r="I41" s="30" t="str">
        <f t="shared" si="19"/>
        <v>A</v>
      </c>
      <c r="J41" s="30" t="str">
        <f t="shared" si="19"/>
        <v>A</v>
      </c>
      <c r="K41" s="30" t="str">
        <f t="shared" si="19"/>
        <v>A</v>
      </c>
      <c r="L41" s="30" t="str">
        <f t="shared" si="19"/>
        <v>A</v>
      </c>
      <c r="M41" s="30" t="str">
        <f t="shared" si="19"/>
        <v>A</v>
      </c>
      <c r="N41" s="30" t="str">
        <f t="shared" si="19"/>
        <v>A</v>
      </c>
      <c r="O41" s="53"/>
    </row>
    <row r="42" spans="1:15" s="5" customFormat="1" ht="13.5" customHeight="1" x14ac:dyDescent="0.3">
      <c r="A42" s="22">
        <v>20</v>
      </c>
      <c r="B42" s="15" t="s">
        <v>121</v>
      </c>
      <c r="C42" s="2" t="s">
        <v>476</v>
      </c>
      <c r="D42" s="4" t="s">
        <v>376</v>
      </c>
      <c r="E42" s="30">
        <v>96.5</v>
      </c>
      <c r="F42" s="30">
        <v>98</v>
      </c>
      <c r="G42" s="30">
        <v>94</v>
      </c>
      <c r="H42" s="30">
        <v>92</v>
      </c>
      <c r="I42" s="30">
        <v>95.5</v>
      </c>
      <c r="J42" s="30">
        <v>100</v>
      </c>
      <c r="K42" s="30">
        <v>98</v>
      </c>
      <c r="L42" s="30">
        <v>99</v>
      </c>
      <c r="M42" s="30">
        <v>100</v>
      </c>
      <c r="N42" s="30">
        <v>100</v>
      </c>
      <c r="O42" s="53">
        <f t="shared" si="1"/>
        <v>97</v>
      </c>
    </row>
    <row r="43" spans="1:15" s="5" customFormat="1" ht="13.5" customHeight="1" x14ac:dyDescent="0.3">
      <c r="A43" s="22"/>
      <c r="B43" s="15"/>
      <c r="C43" s="2"/>
      <c r="D43" s="4"/>
      <c r="E43" s="30" t="str">
        <f>IF(E42&gt;=90,"A",IF(E42&gt;=80,"B",IF(E42&gt;=70,"C",IF(E42&gt;=60,"D","F"))))</f>
        <v>A</v>
      </c>
      <c r="F43" s="30" t="str">
        <f t="shared" ref="F43:N43" si="20">IF(F42&gt;=90,"A",IF(F42&gt;=80,"B",IF(F42&gt;=70,"C",IF(F42&gt;=60,"D","F"))))</f>
        <v>A</v>
      </c>
      <c r="G43" s="30" t="str">
        <f t="shared" si="20"/>
        <v>A</v>
      </c>
      <c r="H43" s="30" t="str">
        <f t="shared" si="20"/>
        <v>A</v>
      </c>
      <c r="I43" s="30" t="str">
        <f t="shared" si="20"/>
        <v>A</v>
      </c>
      <c r="J43" s="30" t="str">
        <f t="shared" si="20"/>
        <v>A</v>
      </c>
      <c r="K43" s="30" t="str">
        <f t="shared" si="20"/>
        <v>A</v>
      </c>
      <c r="L43" s="30" t="str">
        <f t="shared" si="20"/>
        <v>A</v>
      </c>
      <c r="M43" s="30" t="str">
        <f t="shared" si="20"/>
        <v>A</v>
      </c>
      <c r="N43" s="30" t="str">
        <f t="shared" si="20"/>
        <v>A</v>
      </c>
      <c r="O43" s="53"/>
    </row>
    <row r="44" spans="1:15" s="5" customFormat="1" ht="13.5" customHeight="1" x14ac:dyDescent="0.3">
      <c r="A44" s="22">
        <v>21</v>
      </c>
      <c r="B44" s="15" t="s">
        <v>122</v>
      </c>
      <c r="C44" s="2" t="s">
        <v>477</v>
      </c>
      <c r="D44" s="4" t="s">
        <v>376</v>
      </c>
      <c r="E44" s="30">
        <v>94.5</v>
      </c>
      <c r="F44" s="30">
        <v>99</v>
      </c>
      <c r="G44" s="30">
        <v>94.5</v>
      </c>
      <c r="H44" s="30">
        <v>99</v>
      </c>
      <c r="I44" s="30">
        <v>96</v>
      </c>
      <c r="J44" s="30">
        <v>100</v>
      </c>
      <c r="K44" s="30">
        <v>100</v>
      </c>
      <c r="L44" s="30">
        <v>90</v>
      </c>
      <c r="M44" s="30">
        <v>96</v>
      </c>
      <c r="N44" s="30">
        <v>93</v>
      </c>
      <c r="O44" s="53">
        <f t="shared" si="1"/>
        <v>96.555555555555557</v>
      </c>
    </row>
    <row r="45" spans="1:15" s="5" customFormat="1" ht="13.5" customHeight="1" x14ac:dyDescent="0.3">
      <c r="A45" s="22"/>
      <c r="B45" s="15"/>
      <c r="C45" s="2"/>
      <c r="D45" s="4"/>
      <c r="E45" s="30" t="str">
        <f>IF(E44&gt;=90,"A",IF(E44&gt;=80,"B",IF(E44&gt;=70,"C",IF(E44&gt;=60,"D","F"))))</f>
        <v>A</v>
      </c>
      <c r="F45" s="30" t="str">
        <f t="shared" ref="F45:N45" si="21">IF(F44&gt;=90,"A",IF(F44&gt;=80,"B",IF(F44&gt;=70,"C",IF(F44&gt;=60,"D","F"))))</f>
        <v>A</v>
      </c>
      <c r="G45" s="30" t="str">
        <f t="shared" si="21"/>
        <v>A</v>
      </c>
      <c r="H45" s="30" t="str">
        <f t="shared" si="21"/>
        <v>A</v>
      </c>
      <c r="I45" s="30" t="str">
        <f t="shared" si="21"/>
        <v>A</v>
      </c>
      <c r="J45" s="30" t="str">
        <f t="shared" si="21"/>
        <v>A</v>
      </c>
      <c r="K45" s="30" t="str">
        <f t="shared" si="21"/>
        <v>A</v>
      </c>
      <c r="L45" s="30" t="str">
        <f t="shared" si="21"/>
        <v>A</v>
      </c>
      <c r="M45" s="30" t="str">
        <f t="shared" si="21"/>
        <v>A</v>
      </c>
      <c r="N45" s="30" t="str">
        <f t="shared" si="21"/>
        <v>A</v>
      </c>
      <c r="O45" s="53"/>
    </row>
    <row r="46" spans="1:15" s="5" customFormat="1" ht="13.5" customHeight="1" x14ac:dyDescent="0.3">
      <c r="A46" s="22">
        <v>22</v>
      </c>
      <c r="B46" s="15" t="s">
        <v>123</v>
      </c>
      <c r="C46" s="2" t="s">
        <v>478</v>
      </c>
      <c r="D46" s="4" t="s">
        <v>376</v>
      </c>
      <c r="E46" s="30">
        <v>78</v>
      </c>
      <c r="F46" s="30">
        <v>82</v>
      </c>
      <c r="G46" s="30">
        <v>90.5</v>
      </c>
      <c r="H46" s="30">
        <v>84</v>
      </c>
      <c r="I46" s="30">
        <v>92</v>
      </c>
      <c r="J46" s="30">
        <v>100</v>
      </c>
      <c r="K46" s="30">
        <v>98</v>
      </c>
      <c r="L46" s="30">
        <v>90</v>
      </c>
      <c r="M46" s="30">
        <v>98</v>
      </c>
      <c r="N46" s="30">
        <v>98</v>
      </c>
      <c r="O46" s="53">
        <f t="shared" si="1"/>
        <v>90.277777777777771</v>
      </c>
    </row>
    <row r="47" spans="1:15" s="5" customFormat="1" ht="13.5" customHeight="1" x14ac:dyDescent="0.3">
      <c r="A47" s="22"/>
      <c r="B47" s="15"/>
      <c r="C47" s="2"/>
      <c r="D47" s="4"/>
      <c r="E47" s="30" t="str">
        <f>IF(E46&gt;=90,"A",IF(E46&gt;=80,"B",IF(E46&gt;=70,"C",IF(E46&gt;=60,"D","F"))))</f>
        <v>C</v>
      </c>
      <c r="F47" s="30" t="str">
        <f t="shared" ref="F47:N47" si="22">IF(F46&gt;=90,"A",IF(F46&gt;=80,"B",IF(F46&gt;=70,"C",IF(F46&gt;=60,"D","F"))))</f>
        <v>B</v>
      </c>
      <c r="G47" s="30" t="str">
        <f t="shared" si="22"/>
        <v>A</v>
      </c>
      <c r="H47" s="30" t="str">
        <f t="shared" si="22"/>
        <v>B</v>
      </c>
      <c r="I47" s="30" t="str">
        <f t="shared" si="22"/>
        <v>A</v>
      </c>
      <c r="J47" s="30" t="str">
        <f t="shared" si="22"/>
        <v>A</v>
      </c>
      <c r="K47" s="30" t="str">
        <f t="shared" si="22"/>
        <v>A</v>
      </c>
      <c r="L47" s="30" t="str">
        <f t="shared" si="22"/>
        <v>A</v>
      </c>
      <c r="M47" s="30" t="str">
        <f t="shared" si="22"/>
        <v>A</v>
      </c>
      <c r="N47" s="30" t="str">
        <f t="shared" si="22"/>
        <v>A</v>
      </c>
      <c r="O47" s="53"/>
    </row>
    <row r="48" spans="1:15" s="5" customFormat="1" ht="13.5" customHeight="1" x14ac:dyDescent="0.3">
      <c r="A48" s="22">
        <v>23</v>
      </c>
      <c r="B48" s="15" t="s">
        <v>6</v>
      </c>
      <c r="C48" s="2" t="s">
        <v>479</v>
      </c>
      <c r="D48" s="4" t="s">
        <v>375</v>
      </c>
      <c r="E48" s="30">
        <v>83.5</v>
      </c>
      <c r="F48" s="30">
        <v>93</v>
      </c>
      <c r="G48" s="30">
        <v>96</v>
      </c>
      <c r="H48" s="30">
        <v>95.5</v>
      </c>
      <c r="I48" s="30">
        <v>94.5</v>
      </c>
      <c r="J48" s="30">
        <v>100</v>
      </c>
      <c r="K48" s="30">
        <v>99</v>
      </c>
      <c r="L48" s="30">
        <v>100</v>
      </c>
      <c r="M48" s="30">
        <v>100</v>
      </c>
      <c r="N48" s="30">
        <v>98</v>
      </c>
      <c r="O48" s="53">
        <f t="shared" si="1"/>
        <v>95.722222222222229</v>
      </c>
    </row>
    <row r="49" spans="1:15" s="5" customFormat="1" ht="13.5" customHeight="1" x14ac:dyDescent="0.3">
      <c r="A49" s="22"/>
      <c r="B49" s="15"/>
      <c r="C49" s="2"/>
      <c r="D49" s="4"/>
      <c r="E49" s="30" t="str">
        <f>IF(E48&gt;=90,"A",IF(E48&gt;=80,"B",IF(E48&gt;=70,"C",IF(E48&gt;=60,"D","F"))))</f>
        <v>B</v>
      </c>
      <c r="F49" s="30" t="str">
        <f t="shared" ref="F49:N49" si="23">IF(F48&gt;=90,"A",IF(F48&gt;=80,"B",IF(F48&gt;=70,"C",IF(F48&gt;=60,"D","F"))))</f>
        <v>A</v>
      </c>
      <c r="G49" s="30" t="str">
        <f t="shared" si="23"/>
        <v>A</v>
      </c>
      <c r="H49" s="30" t="str">
        <f t="shared" si="23"/>
        <v>A</v>
      </c>
      <c r="I49" s="30" t="str">
        <f t="shared" si="23"/>
        <v>A</v>
      </c>
      <c r="J49" s="30" t="str">
        <f t="shared" si="23"/>
        <v>A</v>
      </c>
      <c r="K49" s="30" t="str">
        <f t="shared" si="23"/>
        <v>A</v>
      </c>
      <c r="L49" s="30" t="str">
        <f t="shared" si="23"/>
        <v>A</v>
      </c>
      <c r="M49" s="30" t="str">
        <f t="shared" si="23"/>
        <v>A</v>
      </c>
      <c r="N49" s="30" t="str">
        <f t="shared" si="23"/>
        <v>A</v>
      </c>
      <c r="O49" s="53"/>
    </row>
    <row r="50" spans="1:15" s="5" customFormat="1" ht="13.5" customHeight="1" x14ac:dyDescent="0.3">
      <c r="A50" s="22">
        <v>24</v>
      </c>
      <c r="B50" s="15" t="s">
        <v>124</v>
      </c>
      <c r="C50" s="2" t="s">
        <v>480</v>
      </c>
      <c r="D50" s="22" t="s">
        <v>376</v>
      </c>
      <c r="E50" s="30">
        <v>93</v>
      </c>
      <c r="F50" s="30">
        <v>98</v>
      </c>
      <c r="G50" s="30">
        <v>96.5</v>
      </c>
      <c r="H50" s="30">
        <v>92</v>
      </c>
      <c r="I50" s="30">
        <v>96</v>
      </c>
      <c r="J50" s="30">
        <v>100</v>
      </c>
      <c r="K50" s="54">
        <v>100</v>
      </c>
      <c r="L50" s="54">
        <v>98</v>
      </c>
      <c r="M50" s="54">
        <v>98</v>
      </c>
      <c r="N50" s="54">
        <v>98</v>
      </c>
      <c r="O50" s="53">
        <f t="shared" si="1"/>
        <v>96.833333333333329</v>
      </c>
    </row>
    <row r="51" spans="1:15" s="5" customFormat="1" ht="13.5" customHeight="1" x14ac:dyDescent="0.3">
      <c r="A51" s="22"/>
      <c r="B51" s="15"/>
      <c r="C51" s="2"/>
      <c r="D51" s="22"/>
      <c r="E51" s="30" t="str">
        <f>IF(E50&gt;=90,"A",IF(E50&gt;=80,"B",IF(E50&gt;=70,"C",IF(E50&gt;=60,"D","F"))))</f>
        <v>A</v>
      </c>
      <c r="F51" s="30" t="str">
        <f t="shared" ref="F51:N51" si="24">IF(F50&gt;=90,"A",IF(F50&gt;=80,"B",IF(F50&gt;=70,"C",IF(F50&gt;=60,"D","F"))))</f>
        <v>A</v>
      </c>
      <c r="G51" s="30" t="str">
        <f t="shared" si="24"/>
        <v>A</v>
      </c>
      <c r="H51" s="30" t="str">
        <f t="shared" si="24"/>
        <v>A</v>
      </c>
      <c r="I51" s="30" t="str">
        <f t="shared" si="24"/>
        <v>A</v>
      </c>
      <c r="J51" s="30" t="str">
        <f t="shared" si="24"/>
        <v>A</v>
      </c>
      <c r="K51" s="30" t="str">
        <f t="shared" si="24"/>
        <v>A</v>
      </c>
      <c r="L51" s="30" t="str">
        <f t="shared" si="24"/>
        <v>A</v>
      </c>
      <c r="M51" s="30" t="str">
        <f t="shared" si="24"/>
        <v>A</v>
      </c>
      <c r="N51" s="30" t="str">
        <f t="shared" si="24"/>
        <v>A</v>
      </c>
      <c r="O51" s="53"/>
    </row>
    <row r="52" spans="1:15" s="5" customFormat="1" ht="13.5" customHeight="1" x14ac:dyDescent="0.3">
      <c r="A52" s="22">
        <v>25</v>
      </c>
      <c r="B52" s="15" t="s">
        <v>56</v>
      </c>
      <c r="C52" s="2" t="s">
        <v>481</v>
      </c>
      <c r="D52" s="10" t="s">
        <v>376</v>
      </c>
      <c r="E52" s="30">
        <v>83</v>
      </c>
      <c r="F52" s="30">
        <v>94</v>
      </c>
      <c r="G52" s="30">
        <v>90</v>
      </c>
      <c r="H52" s="30">
        <v>80</v>
      </c>
      <c r="I52" s="30">
        <v>84</v>
      </c>
      <c r="J52" s="30">
        <v>100</v>
      </c>
      <c r="K52" s="30">
        <v>100</v>
      </c>
      <c r="L52" s="30">
        <v>91</v>
      </c>
      <c r="M52" s="30">
        <v>97</v>
      </c>
      <c r="N52" s="30">
        <v>100</v>
      </c>
      <c r="O52" s="53">
        <f>AVERAGE(E52:M52)</f>
        <v>91</v>
      </c>
    </row>
    <row r="53" spans="1:15" s="5" customFormat="1" ht="13.5" customHeight="1" x14ac:dyDescent="0.3">
      <c r="A53" s="22"/>
      <c r="B53" s="15"/>
      <c r="C53" s="15"/>
      <c r="D53" s="22"/>
      <c r="E53" s="30" t="str">
        <f>IF(E52&gt;=90,"A",IF(E52&gt;=80,"B",IF(E52&gt;=70,"C",IF(E52&gt;=60,"D","F"))))</f>
        <v>B</v>
      </c>
      <c r="F53" s="30" t="str">
        <f t="shared" ref="F53:N53" si="25">IF(F52&gt;=90,"A",IF(F52&gt;=80,"B",IF(F52&gt;=70,"C",IF(F52&gt;=60,"D","F"))))</f>
        <v>A</v>
      </c>
      <c r="G53" s="30" t="str">
        <f t="shared" si="25"/>
        <v>A</v>
      </c>
      <c r="H53" s="30" t="str">
        <f t="shared" si="25"/>
        <v>B</v>
      </c>
      <c r="I53" s="30" t="str">
        <f t="shared" si="25"/>
        <v>B</v>
      </c>
      <c r="J53" s="30" t="str">
        <f t="shared" si="25"/>
        <v>A</v>
      </c>
      <c r="K53" s="30" t="str">
        <f t="shared" si="25"/>
        <v>A</v>
      </c>
      <c r="L53" s="30" t="str">
        <f t="shared" si="25"/>
        <v>A</v>
      </c>
      <c r="M53" s="30" t="str">
        <f t="shared" si="25"/>
        <v>A</v>
      </c>
      <c r="N53" s="30" t="str">
        <f t="shared" si="25"/>
        <v>A</v>
      </c>
      <c r="O53" s="53"/>
    </row>
  </sheetData>
  <sheetProtection formatCells="0" formatColumns="0" formatRows="0" insertColumns="0" insertRows="0" insertHyperlinks="0" deleteColumns="0" deleteRows="0" sort="0" autoFilter="0" pivotTables="0"/>
  <autoFilter ref="A1:D53" xr:uid="{00000000-0009-0000-0000-000004000000}">
    <filterColumn colId="0" showButton="0"/>
  </autoFilter>
  <mergeCells count="1">
    <mergeCell ref="A1:B2"/>
  </mergeCells>
  <pageMargins left="0.23" right="0.17" top="0.31" bottom="0" header="0.17" footer="0.3"/>
  <pageSetup paperSize="9" orientation="landscape" r:id="rId1"/>
  <headerFooter>
    <oddFooter xml:space="preserve">&amp;C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7"/>
  <sheetViews>
    <sheetView topLeftCell="A35" zoomScaleNormal="100" workbookViewId="0">
      <selection activeCell="H57" sqref="H57"/>
    </sheetView>
  </sheetViews>
  <sheetFormatPr defaultRowHeight="15" x14ac:dyDescent="0.25"/>
  <cols>
    <col min="1" max="1" width="4.140625" style="13" customWidth="1"/>
    <col min="2" max="2" width="23.140625" style="28" customWidth="1"/>
    <col min="3" max="3" width="11.140625" style="28" bestFit="1" customWidth="1"/>
    <col min="4" max="4" width="4.7109375" style="7" customWidth="1"/>
    <col min="5" max="5" width="8.85546875" style="51" customWidth="1"/>
    <col min="6" max="6" width="9.85546875" style="51" customWidth="1"/>
    <col min="7" max="7" width="12.42578125" style="51" bestFit="1" customWidth="1"/>
    <col min="8" max="8" width="9.140625" style="51" customWidth="1"/>
    <col min="9" max="9" width="13.28515625" style="51" bestFit="1" customWidth="1"/>
    <col min="10" max="15" width="10.28515625" style="51" customWidth="1"/>
    <col min="16" max="16384" width="9.140625" style="2"/>
  </cols>
  <sheetData>
    <row r="1" spans="1:15" ht="6" customHeight="1" x14ac:dyDescent="0.25">
      <c r="A1" s="85" t="s">
        <v>510</v>
      </c>
      <c r="B1" s="86"/>
      <c r="C1" s="80"/>
    </row>
    <row r="2" spans="1:15" ht="10.5" customHeight="1" x14ac:dyDescent="0.25">
      <c r="A2" s="87"/>
      <c r="B2" s="88"/>
      <c r="C2" s="80"/>
    </row>
    <row r="3" spans="1:15" ht="15.75" customHeight="1" x14ac:dyDescent="0.25">
      <c r="A3" s="23" t="s">
        <v>0</v>
      </c>
      <c r="B3" s="24" t="s">
        <v>1</v>
      </c>
      <c r="C3" s="24"/>
      <c r="D3" s="20" t="s">
        <v>2</v>
      </c>
      <c r="E3" s="52" t="s">
        <v>426</v>
      </c>
      <c r="F3" s="52" t="s">
        <v>427</v>
      </c>
      <c r="G3" s="52" t="s">
        <v>456</v>
      </c>
      <c r="H3" s="52" t="s">
        <v>423</v>
      </c>
      <c r="I3" s="52" t="s">
        <v>827</v>
      </c>
      <c r="J3" s="52" t="s">
        <v>432</v>
      </c>
      <c r="K3" s="52" t="s">
        <v>445</v>
      </c>
      <c r="L3" s="52" t="s">
        <v>424</v>
      </c>
      <c r="M3" s="52" t="s">
        <v>425</v>
      </c>
      <c r="N3" s="52" t="s">
        <v>438</v>
      </c>
      <c r="O3" s="52" t="s">
        <v>428</v>
      </c>
    </row>
    <row r="4" spans="1:15" s="5" customFormat="1" ht="13.5" customHeight="1" x14ac:dyDescent="0.3">
      <c r="A4" s="14">
        <v>1</v>
      </c>
      <c r="B4" s="15" t="s">
        <v>125</v>
      </c>
      <c r="C4" s="2" t="s">
        <v>483</v>
      </c>
      <c r="D4" s="4" t="s">
        <v>376</v>
      </c>
      <c r="E4" s="30">
        <v>96</v>
      </c>
      <c r="F4" s="30">
        <v>94</v>
      </c>
      <c r="G4" s="30">
        <v>98</v>
      </c>
      <c r="H4" s="30">
        <v>99</v>
      </c>
      <c r="I4" s="30">
        <v>99</v>
      </c>
      <c r="J4" s="30">
        <v>100</v>
      </c>
      <c r="K4" s="30">
        <v>98</v>
      </c>
      <c r="L4" s="30">
        <v>100</v>
      </c>
      <c r="M4" s="30">
        <v>99</v>
      </c>
      <c r="N4" s="30">
        <v>98</v>
      </c>
      <c r="O4" s="53">
        <f>AVERAGE(E4:N4)</f>
        <v>98.1</v>
      </c>
    </row>
    <row r="5" spans="1:15" s="5" customFormat="1" ht="13.5" customHeight="1" x14ac:dyDescent="0.3">
      <c r="A5" s="14"/>
      <c r="B5" s="15"/>
      <c r="C5" s="2"/>
      <c r="D5" s="4"/>
      <c r="E5" s="30" t="str">
        <f>IF(E4&gt;=90,"A",IF(E4&gt;=80,"B",IF(E4&gt;=70,"C",IF(E4&gt;=60,"D","F"))))</f>
        <v>A</v>
      </c>
      <c r="F5" s="30" t="str">
        <f t="shared" ref="F5:N5" si="0">IF(F4&gt;=90,"A",IF(F4&gt;=80,"B",IF(F4&gt;=70,"C",IF(F4&gt;=60,"D","F"))))</f>
        <v>A</v>
      </c>
      <c r="G5" s="30" t="str">
        <f t="shared" si="0"/>
        <v>A</v>
      </c>
      <c r="H5" s="30" t="str">
        <f t="shared" si="0"/>
        <v>A</v>
      </c>
      <c r="I5" s="30" t="str">
        <f t="shared" si="0"/>
        <v>A</v>
      </c>
      <c r="J5" s="30" t="str">
        <f t="shared" si="0"/>
        <v>A</v>
      </c>
      <c r="K5" s="30" t="str">
        <f t="shared" si="0"/>
        <v>A</v>
      </c>
      <c r="L5" s="30" t="str">
        <f t="shared" si="0"/>
        <v>A</v>
      </c>
      <c r="M5" s="30" t="str">
        <f t="shared" si="0"/>
        <v>A</v>
      </c>
      <c r="N5" s="30" t="str">
        <f t="shared" si="0"/>
        <v>A</v>
      </c>
      <c r="O5" s="53"/>
    </row>
    <row r="6" spans="1:15" s="5" customFormat="1" ht="13.5" customHeight="1" x14ac:dyDescent="0.3">
      <c r="A6" s="14">
        <v>2</v>
      </c>
      <c r="B6" s="15" t="s">
        <v>126</v>
      </c>
      <c r="C6" s="2" t="s">
        <v>484</v>
      </c>
      <c r="D6" s="4" t="s">
        <v>375</v>
      </c>
      <c r="E6" s="30">
        <v>60</v>
      </c>
      <c r="F6" s="30">
        <v>73</v>
      </c>
      <c r="G6" s="30">
        <v>76</v>
      </c>
      <c r="H6" s="30">
        <v>80</v>
      </c>
      <c r="I6" s="30">
        <v>71</v>
      </c>
      <c r="J6" s="30">
        <v>99</v>
      </c>
      <c r="K6" s="30">
        <v>99</v>
      </c>
      <c r="L6" s="30">
        <v>92</v>
      </c>
      <c r="M6" s="30">
        <v>100</v>
      </c>
      <c r="N6" s="30">
        <v>98</v>
      </c>
      <c r="O6" s="53">
        <f t="shared" ref="O6:O18" si="1">AVERAGE(E6:N6)</f>
        <v>84.8</v>
      </c>
    </row>
    <row r="7" spans="1:15" s="5" customFormat="1" ht="13.5" customHeight="1" x14ac:dyDescent="0.3">
      <c r="A7" s="14"/>
      <c r="B7" s="15"/>
      <c r="C7" s="2"/>
      <c r="D7" s="4"/>
      <c r="E7" s="30" t="str">
        <f>IF(E6&gt;=90,"A",IF(E6&gt;=80,"B",IF(E6&gt;=70,"C",IF(E6&gt;=60,"D","F"))))</f>
        <v>D</v>
      </c>
      <c r="F7" s="30" t="str">
        <f t="shared" ref="F7:N7" si="2">IF(F6&gt;=90,"A",IF(F6&gt;=80,"B",IF(F6&gt;=70,"C",IF(F6&gt;=60,"D","F"))))</f>
        <v>C</v>
      </c>
      <c r="G7" s="30" t="str">
        <f t="shared" si="2"/>
        <v>C</v>
      </c>
      <c r="H7" s="30" t="str">
        <f t="shared" si="2"/>
        <v>B</v>
      </c>
      <c r="I7" s="30" t="str">
        <f t="shared" si="2"/>
        <v>C</v>
      </c>
      <c r="J7" s="30" t="str">
        <f t="shared" si="2"/>
        <v>A</v>
      </c>
      <c r="K7" s="30" t="str">
        <f t="shared" si="2"/>
        <v>A</v>
      </c>
      <c r="L7" s="30" t="str">
        <f t="shared" si="2"/>
        <v>A</v>
      </c>
      <c r="M7" s="30" t="str">
        <f t="shared" si="2"/>
        <v>A</v>
      </c>
      <c r="N7" s="30" t="str">
        <f t="shared" si="2"/>
        <v>A</v>
      </c>
      <c r="O7" s="53"/>
    </row>
    <row r="8" spans="1:15" s="5" customFormat="1" ht="13.5" customHeight="1" x14ac:dyDescent="0.3">
      <c r="A8" s="14">
        <v>3</v>
      </c>
      <c r="B8" s="15" t="s">
        <v>127</v>
      </c>
      <c r="C8" s="2" t="s">
        <v>485</v>
      </c>
      <c r="D8" s="4" t="s">
        <v>376</v>
      </c>
      <c r="E8" s="30">
        <v>66</v>
      </c>
      <c r="F8" s="30">
        <v>96</v>
      </c>
      <c r="G8" s="30">
        <v>77</v>
      </c>
      <c r="H8" s="30">
        <v>75</v>
      </c>
      <c r="I8" s="30">
        <v>80</v>
      </c>
      <c r="J8" s="30">
        <v>100</v>
      </c>
      <c r="K8" s="30">
        <v>97</v>
      </c>
      <c r="L8" s="30">
        <v>92</v>
      </c>
      <c r="M8" s="30">
        <v>100</v>
      </c>
      <c r="N8" s="30">
        <v>98</v>
      </c>
      <c r="O8" s="53">
        <f t="shared" si="1"/>
        <v>88.1</v>
      </c>
    </row>
    <row r="9" spans="1:15" s="5" customFormat="1" ht="13.5" customHeight="1" x14ac:dyDescent="0.3">
      <c r="A9" s="14"/>
      <c r="B9" s="15"/>
      <c r="C9" s="2"/>
      <c r="D9" s="4"/>
      <c r="E9" s="30" t="str">
        <f>IF(E8&gt;=90,"A",IF(E8&gt;=80,"B",IF(E8&gt;=70,"C",IF(E8&gt;=60,"D","F"))))</f>
        <v>D</v>
      </c>
      <c r="F9" s="30" t="str">
        <f t="shared" ref="F9:N9" si="3">IF(F8&gt;=90,"A",IF(F8&gt;=80,"B",IF(F8&gt;=70,"C",IF(F8&gt;=60,"D","F"))))</f>
        <v>A</v>
      </c>
      <c r="G9" s="30" t="str">
        <f t="shared" si="3"/>
        <v>C</v>
      </c>
      <c r="H9" s="30" t="str">
        <f t="shared" si="3"/>
        <v>C</v>
      </c>
      <c r="I9" s="30" t="str">
        <f t="shared" si="3"/>
        <v>B</v>
      </c>
      <c r="J9" s="30" t="str">
        <f t="shared" si="3"/>
        <v>A</v>
      </c>
      <c r="K9" s="30" t="str">
        <f t="shared" si="3"/>
        <v>A</v>
      </c>
      <c r="L9" s="30" t="str">
        <f t="shared" si="3"/>
        <v>A</v>
      </c>
      <c r="M9" s="30" t="str">
        <f t="shared" si="3"/>
        <v>A</v>
      </c>
      <c r="N9" s="30" t="str">
        <f t="shared" si="3"/>
        <v>A</v>
      </c>
      <c r="O9" s="53"/>
    </row>
    <row r="10" spans="1:15" s="5" customFormat="1" ht="13.5" customHeight="1" x14ac:dyDescent="0.3">
      <c r="A10" s="14">
        <v>4</v>
      </c>
      <c r="B10" s="15" t="s">
        <v>128</v>
      </c>
      <c r="C10" s="2" t="s">
        <v>486</v>
      </c>
      <c r="D10" s="4" t="s">
        <v>376</v>
      </c>
      <c r="E10" s="30">
        <v>80</v>
      </c>
      <c r="F10" s="30">
        <v>83</v>
      </c>
      <c r="G10" s="30">
        <v>81</v>
      </c>
      <c r="H10" s="30">
        <v>81</v>
      </c>
      <c r="I10" s="30">
        <v>85</v>
      </c>
      <c r="J10" s="30">
        <v>100</v>
      </c>
      <c r="K10" s="30">
        <v>98</v>
      </c>
      <c r="L10" s="30">
        <v>90</v>
      </c>
      <c r="M10" s="30">
        <v>99</v>
      </c>
      <c r="N10" s="30">
        <v>98</v>
      </c>
      <c r="O10" s="53">
        <f t="shared" si="1"/>
        <v>89.5</v>
      </c>
    </row>
    <row r="11" spans="1:15" s="5" customFormat="1" ht="13.5" customHeight="1" x14ac:dyDescent="0.3">
      <c r="A11" s="14"/>
      <c r="B11" s="15"/>
      <c r="C11" s="2"/>
      <c r="D11" s="4"/>
      <c r="E11" s="30" t="str">
        <f>IF(E10&gt;=90,"A",IF(E10&gt;=80,"B",IF(E10&gt;=70,"C",IF(E10&gt;=60,"D","F"))))</f>
        <v>B</v>
      </c>
      <c r="F11" s="30" t="str">
        <f t="shared" ref="F11:N11" si="4">IF(F10&gt;=90,"A",IF(F10&gt;=80,"B",IF(F10&gt;=70,"C",IF(F10&gt;=60,"D","F"))))</f>
        <v>B</v>
      </c>
      <c r="G11" s="30" t="str">
        <f t="shared" si="4"/>
        <v>B</v>
      </c>
      <c r="H11" s="30" t="str">
        <f t="shared" si="4"/>
        <v>B</v>
      </c>
      <c r="I11" s="30" t="str">
        <f t="shared" si="4"/>
        <v>B</v>
      </c>
      <c r="J11" s="30" t="str">
        <f t="shared" si="4"/>
        <v>A</v>
      </c>
      <c r="K11" s="30" t="str">
        <f t="shared" si="4"/>
        <v>A</v>
      </c>
      <c r="L11" s="30" t="str">
        <f t="shared" si="4"/>
        <v>A</v>
      </c>
      <c r="M11" s="30" t="str">
        <f t="shared" si="4"/>
        <v>A</v>
      </c>
      <c r="N11" s="30" t="str">
        <f t="shared" si="4"/>
        <v>A</v>
      </c>
      <c r="O11" s="53"/>
    </row>
    <row r="12" spans="1:15" s="5" customFormat="1" ht="13.5" customHeight="1" x14ac:dyDescent="0.3">
      <c r="A12" s="14">
        <v>5</v>
      </c>
      <c r="B12" s="15" t="s">
        <v>129</v>
      </c>
      <c r="C12" s="2" t="s">
        <v>487</v>
      </c>
      <c r="D12" s="4" t="s">
        <v>375</v>
      </c>
      <c r="E12" s="30">
        <v>87</v>
      </c>
      <c r="F12" s="30">
        <v>85</v>
      </c>
      <c r="G12" s="30">
        <v>87</v>
      </c>
      <c r="H12" s="30">
        <v>95</v>
      </c>
      <c r="I12" s="30">
        <v>90</v>
      </c>
      <c r="J12" s="30">
        <v>100</v>
      </c>
      <c r="K12" s="30">
        <v>98</v>
      </c>
      <c r="L12" s="30">
        <v>98</v>
      </c>
      <c r="M12" s="30">
        <v>100</v>
      </c>
      <c r="N12" s="30">
        <v>100</v>
      </c>
      <c r="O12" s="53">
        <f t="shared" si="1"/>
        <v>94</v>
      </c>
    </row>
    <row r="13" spans="1:15" s="5" customFormat="1" ht="13.5" customHeight="1" x14ac:dyDescent="0.3">
      <c r="A13" s="14"/>
      <c r="B13" s="15"/>
      <c r="C13" s="2"/>
      <c r="D13" s="4"/>
      <c r="E13" s="30" t="str">
        <f>IF(E12&gt;=90,"A",IF(E12&gt;=80,"B",IF(E12&gt;=70,"C",IF(E12&gt;=60,"D","F"))))</f>
        <v>B</v>
      </c>
      <c r="F13" s="30" t="str">
        <f t="shared" ref="F13:N13" si="5">IF(F12&gt;=90,"A",IF(F12&gt;=80,"B",IF(F12&gt;=70,"C",IF(F12&gt;=60,"D","F"))))</f>
        <v>B</v>
      </c>
      <c r="G13" s="30" t="str">
        <f t="shared" si="5"/>
        <v>B</v>
      </c>
      <c r="H13" s="30" t="str">
        <f t="shared" si="5"/>
        <v>A</v>
      </c>
      <c r="I13" s="30" t="str">
        <f t="shared" si="5"/>
        <v>A</v>
      </c>
      <c r="J13" s="30" t="str">
        <f t="shared" si="5"/>
        <v>A</v>
      </c>
      <c r="K13" s="30" t="str">
        <f t="shared" si="5"/>
        <v>A</v>
      </c>
      <c r="L13" s="30" t="str">
        <f t="shared" si="5"/>
        <v>A</v>
      </c>
      <c r="M13" s="30" t="str">
        <f t="shared" si="5"/>
        <v>A</v>
      </c>
      <c r="N13" s="30" t="str">
        <f t="shared" si="5"/>
        <v>A</v>
      </c>
      <c r="O13" s="53"/>
    </row>
    <row r="14" spans="1:15" s="5" customFormat="1" ht="13.5" customHeight="1" x14ac:dyDescent="0.3">
      <c r="A14" s="14">
        <v>6</v>
      </c>
      <c r="B14" s="15" t="s">
        <v>130</v>
      </c>
      <c r="C14" s="2" t="s">
        <v>488</v>
      </c>
      <c r="D14" s="4" t="s">
        <v>375</v>
      </c>
      <c r="E14" s="30">
        <v>70</v>
      </c>
      <c r="F14" s="30">
        <v>90</v>
      </c>
      <c r="G14" s="30">
        <v>84</v>
      </c>
      <c r="H14" s="30">
        <v>87</v>
      </c>
      <c r="I14" s="30">
        <v>88</v>
      </c>
      <c r="J14" s="30">
        <v>99</v>
      </c>
      <c r="K14" s="30">
        <v>98</v>
      </c>
      <c r="L14" s="30">
        <v>91</v>
      </c>
      <c r="M14" s="30">
        <v>100</v>
      </c>
      <c r="N14" s="30">
        <v>100</v>
      </c>
      <c r="O14" s="53">
        <f t="shared" si="1"/>
        <v>90.7</v>
      </c>
    </row>
    <row r="15" spans="1:15" s="5" customFormat="1" ht="13.5" customHeight="1" x14ac:dyDescent="0.3">
      <c r="A15" s="14"/>
      <c r="B15" s="15"/>
      <c r="C15" s="2"/>
      <c r="D15" s="4"/>
      <c r="E15" s="30" t="str">
        <f>IF(E14&gt;=90,"A",IF(E14&gt;=80,"B",IF(E14&gt;=70,"C",IF(E14&gt;=60,"D","F"))))</f>
        <v>C</v>
      </c>
      <c r="F15" s="30" t="str">
        <f t="shared" ref="F15:N15" si="6">IF(F14&gt;=90,"A",IF(F14&gt;=80,"B",IF(F14&gt;=70,"C",IF(F14&gt;=60,"D","F"))))</f>
        <v>A</v>
      </c>
      <c r="G15" s="30" t="str">
        <f t="shared" si="6"/>
        <v>B</v>
      </c>
      <c r="H15" s="30" t="str">
        <f t="shared" si="6"/>
        <v>B</v>
      </c>
      <c r="I15" s="30" t="str">
        <f t="shared" si="6"/>
        <v>B</v>
      </c>
      <c r="J15" s="30" t="str">
        <f t="shared" si="6"/>
        <v>A</v>
      </c>
      <c r="K15" s="30" t="str">
        <f t="shared" si="6"/>
        <v>A</v>
      </c>
      <c r="L15" s="30" t="str">
        <f t="shared" si="6"/>
        <v>A</v>
      </c>
      <c r="M15" s="30" t="str">
        <f t="shared" si="6"/>
        <v>A</v>
      </c>
      <c r="N15" s="30" t="str">
        <f t="shared" si="6"/>
        <v>A</v>
      </c>
      <c r="O15" s="53"/>
    </row>
    <row r="16" spans="1:15" s="5" customFormat="1" ht="13.5" customHeight="1" x14ac:dyDescent="0.3">
      <c r="A16" s="14">
        <v>7</v>
      </c>
      <c r="B16" s="15" t="s">
        <v>131</v>
      </c>
      <c r="C16" s="2" t="s">
        <v>489</v>
      </c>
      <c r="D16" s="4" t="s">
        <v>375</v>
      </c>
      <c r="E16" s="30">
        <v>92</v>
      </c>
      <c r="F16" s="30">
        <v>100</v>
      </c>
      <c r="G16" s="30">
        <v>100</v>
      </c>
      <c r="H16" s="30">
        <v>98</v>
      </c>
      <c r="I16" s="30">
        <v>99</v>
      </c>
      <c r="J16" s="30">
        <v>99</v>
      </c>
      <c r="K16" s="30">
        <v>98</v>
      </c>
      <c r="L16" s="30">
        <v>99</v>
      </c>
      <c r="M16" s="30">
        <v>98</v>
      </c>
      <c r="N16" s="30">
        <v>100</v>
      </c>
      <c r="O16" s="53">
        <f t="shared" si="1"/>
        <v>98.3</v>
      </c>
    </row>
    <row r="17" spans="1:15" s="5" customFormat="1" ht="13.5" customHeight="1" x14ac:dyDescent="0.3">
      <c r="A17" s="14"/>
      <c r="B17" s="15"/>
      <c r="D17" s="4"/>
      <c r="E17" s="30" t="str">
        <f>IF(E16&gt;=90,"A",IF(E16&gt;=80,"B",IF(E16&gt;=70,"C",IF(E16&gt;=60,"D","F"))))</f>
        <v>A</v>
      </c>
      <c r="F17" s="30" t="str">
        <f t="shared" ref="F17:N17" si="7">IF(F16&gt;=90,"A",IF(F16&gt;=80,"B",IF(F16&gt;=70,"C",IF(F16&gt;=60,"D","F"))))</f>
        <v>A</v>
      </c>
      <c r="G17" s="30" t="str">
        <f t="shared" si="7"/>
        <v>A</v>
      </c>
      <c r="H17" s="30" t="str">
        <f t="shared" si="7"/>
        <v>A</v>
      </c>
      <c r="I17" s="30" t="str">
        <f t="shared" si="7"/>
        <v>A</v>
      </c>
      <c r="J17" s="30" t="str">
        <f t="shared" si="7"/>
        <v>A</v>
      </c>
      <c r="K17" s="30" t="str">
        <f t="shared" si="7"/>
        <v>A</v>
      </c>
      <c r="L17" s="30" t="str">
        <f t="shared" si="7"/>
        <v>A</v>
      </c>
      <c r="M17" s="30" t="str">
        <f t="shared" si="7"/>
        <v>A</v>
      </c>
      <c r="N17" s="30" t="str">
        <f t="shared" si="7"/>
        <v>A</v>
      </c>
      <c r="O17" s="53"/>
    </row>
    <row r="18" spans="1:15" s="5" customFormat="1" ht="13.5" customHeight="1" x14ac:dyDescent="0.3">
      <c r="A18" s="14">
        <v>8</v>
      </c>
      <c r="B18" s="15" t="s">
        <v>7</v>
      </c>
      <c r="C18" s="2" t="s">
        <v>491</v>
      </c>
      <c r="D18" s="4" t="s">
        <v>375</v>
      </c>
      <c r="E18" s="30">
        <v>95</v>
      </c>
      <c r="F18" s="30">
        <v>94</v>
      </c>
      <c r="G18" s="30">
        <v>98</v>
      </c>
      <c r="H18" s="30">
        <v>93</v>
      </c>
      <c r="I18" s="30">
        <v>91</v>
      </c>
      <c r="J18" s="30">
        <v>100</v>
      </c>
      <c r="K18" s="30">
        <v>96</v>
      </c>
      <c r="L18" s="30">
        <v>97</v>
      </c>
      <c r="M18" s="30">
        <v>100</v>
      </c>
      <c r="N18" s="30">
        <v>100</v>
      </c>
      <c r="O18" s="53">
        <f t="shared" si="1"/>
        <v>96.4</v>
      </c>
    </row>
    <row r="19" spans="1:15" s="5" customFormat="1" ht="13.5" customHeight="1" x14ac:dyDescent="0.3">
      <c r="A19" s="14"/>
      <c r="B19" s="15"/>
      <c r="C19" s="2"/>
      <c r="D19" s="4"/>
      <c r="E19" s="30" t="str">
        <f>IF(E18&gt;=90,"A",IF(E18&gt;=80,"B",IF(E18&gt;=70,"C",IF(E18&gt;=60,"D","F"))))</f>
        <v>A</v>
      </c>
      <c r="F19" s="30" t="str">
        <f t="shared" ref="F19:N19" si="8">IF(F18&gt;=90,"A",IF(F18&gt;=80,"B",IF(F18&gt;=70,"C",IF(F18&gt;=60,"D","F"))))</f>
        <v>A</v>
      </c>
      <c r="G19" s="30" t="str">
        <f t="shared" si="8"/>
        <v>A</v>
      </c>
      <c r="H19" s="30" t="str">
        <f t="shared" si="8"/>
        <v>A</v>
      </c>
      <c r="I19" s="30" t="str">
        <f t="shared" si="8"/>
        <v>A</v>
      </c>
      <c r="J19" s="30" t="str">
        <f t="shared" si="8"/>
        <v>A</v>
      </c>
      <c r="K19" s="30" t="str">
        <f t="shared" si="8"/>
        <v>A</v>
      </c>
      <c r="L19" s="30" t="str">
        <f t="shared" si="8"/>
        <v>A</v>
      </c>
      <c r="M19" s="30" t="str">
        <f t="shared" si="8"/>
        <v>A</v>
      </c>
      <c r="N19" s="30" t="str">
        <f t="shared" si="8"/>
        <v>A</v>
      </c>
      <c r="O19" s="53"/>
    </row>
    <row r="20" spans="1:15" s="5" customFormat="1" ht="13.5" customHeight="1" x14ac:dyDescent="0.3">
      <c r="A20" s="14">
        <v>9</v>
      </c>
      <c r="B20" s="16" t="s">
        <v>378</v>
      </c>
      <c r="C20" s="2" t="s">
        <v>490</v>
      </c>
      <c r="D20" s="4" t="s">
        <v>376</v>
      </c>
      <c r="E20" s="30">
        <v>90</v>
      </c>
      <c r="F20" s="57">
        <v>0</v>
      </c>
      <c r="G20" s="30">
        <v>78</v>
      </c>
      <c r="H20" s="30">
        <v>85</v>
      </c>
      <c r="I20" s="30">
        <v>85</v>
      </c>
      <c r="J20" s="30">
        <v>83</v>
      </c>
      <c r="K20" s="30">
        <v>100</v>
      </c>
      <c r="L20" s="30">
        <v>98</v>
      </c>
      <c r="M20" s="30">
        <v>100</v>
      </c>
      <c r="N20" s="30">
        <v>98</v>
      </c>
      <c r="O20" s="53">
        <f>AVERAGE(E20,G20:N20)</f>
        <v>90.777777777777771</v>
      </c>
    </row>
    <row r="21" spans="1:15" s="5" customFormat="1" ht="13.5" customHeight="1" x14ac:dyDescent="0.3">
      <c r="A21" s="14"/>
      <c r="B21" s="16"/>
      <c r="C21" s="2"/>
      <c r="D21" s="4"/>
      <c r="E21" s="30" t="str">
        <f>IF(E20&gt;=90,"A",IF(E20&gt;=80,"B",IF(E20&gt;=70,"C",IF(E20&gt;=60,"D","F"))))</f>
        <v>A</v>
      </c>
      <c r="F21" s="57" t="s">
        <v>429</v>
      </c>
      <c r="G21" s="30" t="str">
        <f t="shared" ref="G21:N21" si="9">IF(G20&gt;=90,"A",IF(G20&gt;=80,"B",IF(G20&gt;=70,"C",IF(G20&gt;=60,"D","F"))))</f>
        <v>C</v>
      </c>
      <c r="H21" s="30" t="str">
        <f t="shared" si="9"/>
        <v>B</v>
      </c>
      <c r="I21" s="30" t="str">
        <f t="shared" si="9"/>
        <v>B</v>
      </c>
      <c r="J21" s="30" t="str">
        <f t="shared" si="9"/>
        <v>B</v>
      </c>
      <c r="K21" s="30" t="str">
        <f t="shared" si="9"/>
        <v>A</v>
      </c>
      <c r="L21" s="30" t="str">
        <f t="shared" si="9"/>
        <v>A</v>
      </c>
      <c r="M21" s="30" t="str">
        <f t="shared" si="9"/>
        <v>A</v>
      </c>
      <c r="N21" s="30" t="str">
        <f t="shared" si="9"/>
        <v>A</v>
      </c>
      <c r="O21" s="53"/>
    </row>
    <row r="22" spans="1:15" s="5" customFormat="1" ht="13.5" customHeight="1" x14ac:dyDescent="0.3">
      <c r="A22" s="14">
        <v>10</v>
      </c>
      <c r="B22" s="15" t="s">
        <v>8</v>
      </c>
      <c r="C22" s="2" t="s">
        <v>492</v>
      </c>
      <c r="D22" s="4" t="s">
        <v>376</v>
      </c>
      <c r="E22" s="54">
        <v>65</v>
      </c>
      <c r="F22" s="54">
        <v>81</v>
      </c>
      <c r="G22" s="30">
        <v>77</v>
      </c>
      <c r="H22" s="30">
        <v>75</v>
      </c>
      <c r="I22" s="30">
        <v>72</v>
      </c>
      <c r="J22" s="30">
        <v>100</v>
      </c>
      <c r="K22" s="30">
        <v>98</v>
      </c>
      <c r="L22" s="30">
        <v>96</v>
      </c>
      <c r="M22" s="30">
        <v>97</v>
      </c>
      <c r="N22" s="30">
        <v>97</v>
      </c>
      <c r="O22" s="53">
        <f>AVERAGE(E22:N22)</f>
        <v>85.8</v>
      </c>
    </row>
    <row r="23" spans="1:15" s="5" customFormat="1" ht="13.5" customHeight="1" x14ac:dyDescent="0.3">
      <c r="A23" s="14"/>
      <c r="B23" s="15"/>
      <c r="C23" s="2"/>
      <c r="D23" s="4"/>
      <c r="E23" s="30" t="str">
        <f>IF(E22&gt;=90,"A",IF(E22&gt;=80,"B",IF(E22&gt;=70,"C",IF(E22&gt;=60,"D","F"))))</f>
        <v>D</v>
      </c>
      <c r="F23" s="30" t="str">
        <f t="shared" ref="F23:N23" si="10">IF(F22&gt;=90,"A",IF(F22&gt;=80,"B",IF(F22&gt;=70,"C",IF(F22&gt;=60,"D","F"))))</f>
        <v>B</v>
      </c>
      <c r="G23" s="30" t="str">
        <f t="shared" si="10"/>
        <v>C</v>
      </c>
      <c r="H23" s="30" t="str">
        <f t="shared" si="10"/>
        <v>C</v>
      </c>
      <c r="I23" s="30" t="str">
        <f t="shared" si="10"/>
        <v>C</v>
      </c>
      <c r="J23" s="30" t="str">
        <f t="shared" si="10"/>
        <v>A</v>
      </c>
      <c r="K23" s="30" t="str">
        <f t="shared" si="10"/>
        <v>A</v>
      </c>
      <c r="L23" s="30" t="str">
        <f t="shared" si="10"/>
        <v>A</v>
      </c>
      <c r="M23" s="30" t="str">
        <f t="shared" si="10"/>
        <v>A</v>
      </c>
      <c r="N23" s="30" t="str">
        <f t="shared" si="10"/>
        <v>A</v>
      </c>
      <c r="O23" s="53"/>
    </row>
    <row r="24" spans="1:15" s="5" customFormat="1" ht="13.5" customHeight="1" x14ac:dyDescent="0.3">
      <c r="A24" s="14">
        <v>11</v>
      </c>
      <c r="B24" s="15" t="s">
        <v>4</v>
      </c>
      <c r="C24" s="2" t="s">
        <v>493</v>
      </c>
      <c r="D24" s="4" t="s">
        <v>375</v>
      </c>
      <c r="E24" s="30">
        <v>77</v>
      </c>
      <c r="F24" s="30">
        <v>97</v>
      </c>
      <c r="G24" s="30">
        <v>90</v>
      </c>
      <c r="H24" s="30">
        <v>90</v>
      </c>
      <c r="I24" s="30">
        <v>88</v>
      </c>
      <c r="J24" s="30">
        <v>96</v>
      </c>
      <c r="K24" s="30">
        <v>99</v>
      </c>
      <c r="L24" s="30">
        <v>86</v>
      </c>
      <c r="M24" s="30">
        <v>100</v>
      </c>
      <c r="N24" s="30">
        <v>98</v>
      </c>
      <c r="O24" s="53">
        <f t="shared" ref="O24:O56" si="11">AVERAGE(E24:N24)</f>
        <v>92.1</v>
      </c>
    </row>
    <row r="25" spans="1:15" s="5" customFormat="1" ht="13.5" customHeight="1" x14ac:dyDescent="0.3">
      <c r="A25" s="14"/>
      <c r="B25" s="15"/>
      <c r="C25" s="2"/>
      <c r="D25" s="4"/>
      <c r="E25" s="30" t="str">
        <f>IF(E24&gt;=90,"A",IF(E24&gt;=80,"B",IF(E24&gt;=70,"C",IF(E24&gt;=60,"D","F"))))</f>
        <v>C</v>
      </c>
      <c r="F25" s="30" t="str">
        <f t="shared" ref="F25:N25" si="12">IF(F24&gt;=90,"A",IF(F24&gt;=80,"B",IF(F24&gt;=70,"C",IF(F24&gt;=60,"D","F"))))</f>
        <v>A</v>
      </c>
      <c r="G25" s="30" t="str">
        <f t="shared" si="12"/>
        <v>A</v>
      </c>
      <c r="H25" s="30" t="str">
        <f t="shared" si="12"/>
        <v>A</v>
      </c>
      <c r="I25" s="30" t="str">
        <f t="shared" si="12"/>
        <v>B</v>
      </c>
      <c r="J25" s="30" t="str">
        <f t="shared" si="12"/>
        <v>A</v>
      </c>
      <c r="K25" s="30" t="str">
        <f t="shared" si="12"/>
        <v>A</v>
      </c>
      <c r="L25" s="30" t="str">
        <f t="shared" si="12"/>
        <v>B</v>
      </c>
      <c r="M25" s="30" t="str">
        <f t="shared" si="12"/>
        <v>A</v>
      </c>
      <c r="N25" s="30" t="str">
        <f t="shared" si="12"/>
        <v>A</v>
      </c>
      <c r="O25" s="53"/>
    </row>
    <row r="26" spans="1:15" s="5" customFormat="1" ht="13.5" customHeight="1" x14ac:dyDescent="0.3">
      <c r="A26" s="14">
        <v>12</v>
      </c>
      <c r="B26" s="15" t="s">
        <v>132</v>
      </c>
      <c r="C26" s="2" t="s">
        <v>494</v>
      </c>
      <c r="D26" s="4" t="s">
        <v>376</v>
      </c>
      <c r="E26" s="30">
        <v>70</v>
      </c>
      <c r="F26" s="30">
        <v>68</v>
      </c>
      <c r="G26" s="30">
        <v>86</v>
      </c>
      <c r="H26" s="30">
        <v>76</v>
      </c>
      <c r="I26" s="30">
        <v>82</v>
      </c>
      <c r="J26" s="30">
        <v>92</v>
      </c>
      <c r="K26" s="30">
        <v>96</v>
      </c>
      <c r="L26" s="30">
        <v>96</v>
      </c>
      <c r="M26" s="30">
        <v>100</v>
      </c>
      <c r="N26" s="30">
        <v>98</v>
      </c>
      <c r="O26" s="53">
        <f t="shared" si="11"/>
        <v>86.4</v>
      </c>
    </row>
    <row r="27" spans="1:15" s="5" customFormat="1" ht="13.5" customHeight="1" x14ac:dyDescent="0.3">
      <c r="A27" s="14"/>
      <c r="B27" s="15"/>
      <c r="C27" s="2"/>
      <c r="D27" s="4"/>
      <c r="E27" s="30" t="str">
        <f>IF(E26&gt;=90,"A",IF(E26&gt;=80,"B",IF(E26&gt;=70,"C",IF(E26&gt;=60,"D","F"))))</f>
        <v>C</v>
      </c>
      <c r="F27" s="30" t="str">
        <f t="shared" ref="F27:N27" si="13">IF(F26&gt;=90,"A",IF(F26&gt;=80,"B",IF(F26&gt;=70,"C",IF(F26&gt;=60,"D","F"))))</f>
        <v>D</v>
      </c>
      <c r="G27" s="30" t="str">
        <f t="shared" si="13"/>
        <v>B</v>
      </c>
      <c r="H27" s="30" t="str">
        <f t="shared" si="13"/>
        <v>C</v>
      </c>
      <c r="I27" s="30" t="str">
        <f t="shared" si="13"/>
        <v>B</v>
      </c>
      <c r="J27" s="30" t="str">
        <f t="shared" si="13"/>
        <v>A</v>
      </c>
      <c r="K27" s="30" t="str">
        <f t="shared" si="13"/>
        <v>A</v>
      </c>
      <c r="L27" s="30" t="str">
        <f t="shared" si="13"/>
        <v>A</v>
      </c>
      <c r="M27" s="30" t="str">
        <f t="shared" si="13"/>
        <v>A</v>
      </c>
      <c r="N27" s="30" t="str">
        <f t="shared" si="13"/>
        <v>A</v>
      </c>
      <c r="O27" s="53"/>
    </row>
    <row r="28" spans="1:15" s="5" customFormat="1" ht="13.5" customHeight="1" x14ac:dyDescent="0.3">
      <c r="A28" s="14">
        <v>13</v>
      </c>
      <c r="B28" s="15" t="s">
        <v>133</v>
      </c>
      <c r="C28" s="2" t="s">
        <v>495</v>
      </c>
      <c r="D28" s="4" t="s">
        <v>375</v>
      </c>
      <c r="E28" s="30">
        <v>98</v>
      </c>
      <c r="F28" s="30">
        <v>89</v>
      </c>
      <c r="G28" s="30">
        <v>96</v>
      </c>
      <c r="H28" s="30">
        <v>98</v>
      </c>
      <c r="I28" s="30">
        <v>95</v>
      </c>
      <c r="J28" s="30">
        <v>96</v>
      </c>
      <c r="K28" s="30">
        <v>100</v>
      </c>
      <c r="L28" s="30">
        <v>94</v>
      </c>
      <c r="M28" s="30">
        <v>100</v>
      </c>
      <c r="N28" s="30">
        <v>99</v>
      </c>
      <c r="O28" s="53">
        <f t="shared" si="11"/>
        <v>96.5</v>
      </c>
    </row>
    <row r="29" spans="1:15" s="5" customFormat="1" ht="13.5" customHeight="1" x14ac:dyDescent="0.3">
      <c r="A29" s="14"/>
      <c r="B29" s="15"/>
      <c r="C29" s="2"/>
      <c r="D29" s="4"/>
      <c r="E29" s="30" t="str">
        <f>IF(E28&gt;=90,"A",IF(E28&gt;=80,"B",IF(E28&gt;=70,"C",IF(E28&gt;=60,"D","F"))))</f>
        <v>A</v>
      </c>
      <c r="F29" s="30" t="str">
        <f t="shared" ref="F29:N29" si="14">IF(F28&gt;=90,"A",IF(F28&gt;=80,"B",IF(F28&gt;=70,"C",IF(F28&gt;=60,"D","F"))))</f>
        <v>B</v>
      </c>
      <c r="G29" s="30" t="str">
        <f t="shared" si="14"/>
        <v>A</v>
      </c>
      <c r="H29" s="30" t="str">
        <f t="shared" si="14"/>
        <v>A</v>
      </c>
      <c r="I29" s="30" t="str">
        <f t="shared" si="14"/>
        <v>A</v>
      </c>
      <c r="J29" s="30" t="str">
        <f t="shared" si="14"/>
        <v>A</v>
      </c>
      <c r="K29" s="30" t="str">
        <f t="shared" si="14"/>
        <v>A</v>
      </c>
      <c r="L29" s="30" t="str">
        <f t="shared" si="14"/>
        <v>A</v>
      </c>
      <c r="M29" s="30" t="str">
        <f t="shared" si="14"/>
        <v>A</v>
      </c>
      <c r="N29" s="30" t="str">
        <f t="shared" si="14"/>
        <v>A</v>
      </c>
      <c r="O29" s="53"/>
    </row>
    <row r="30" spans="1:15" s="5" customFormat="1" ht="13.5" customHeight="1" x14ac:dyDescent="0.3">
      <c r="A30" s="14">
        <v>14</v>
      </c>
      <c r="B30" s="15" t="s">
        <v>134</v>
      </c>
      <c r="C30" s="2" t="s">
        <v>496</v>
      </c>
      <c r="D30" s="4" t="s">
        <v>376</v>
      </c>
      <c r="E30" s="30">
        <v>75</v>
      </c>
      <c r="F30" s="30">
        <v>96</v>
      </c>
      <c r="G30" s="30">
        <v>90</v>
      </c>
      <c r="H30" s="30">
        <v>84</v>
      </c>
      <c r="I30" s="30">
        <v>84</v>
      </c>
      <c r="J30" s="30">
        <v>100</v>
      </c>
      <c r="K30" s="30">
        <v>100</v>
      </c>
      <c r="L30" s="30">
        <v>93</v>
      </c>
      <c r="M30" s="30">
        <v>100</v>
      </c>
      <c r="N30" s="30">
        <v>97</v>
      </c>
      <c r="O30" s="53">
        <f t="shared" si="11"/>
        <v>91.9</v>
      </c>
    </row>
    <row r="31" spans="1:15" s="5" customFormat="1" ht="13.5" customHeight="1" x14ac:dyDescent="0.3">
      <c r="A31" s="14"/>
      <c r="B31" s="15"/>
      <c r="C31" s="2"/>
      <c r="D31" s="4"/>
      <c r="E31" s="30" t="str">
        <f>IF(E30&gt;=90,"A",IF(E30&gt;=80,"B",IF(E30&gt;=70,"C",IF(E30&gt;=60,"D","F"))))</f>
        <v>C</v>
      </c>
      <c r="F31" s="30" t="str">
        <f t="shared" ref="F31:N31" si="15">IF(F30&gt;=90,"A",IF(F30&gt;=80,"B",IF(F30&gt;=70,"C",IF(F30&gt;=60,"D","F"))))</f>
        <v>A</v>
      </c>
      <c r="G31" s="30" t="str">
        <f t="shared" si="15"/>
        <v>A</v>
      </c>
      <c r="H31" s="30" t="str">
        <f t="shared" si="15"/>
        <v>B</v>
      </c>
      <c r="I31" s="30" t="str">
        <f t="shared" si="15"/>
        <v>B</v>
      </c>
      <c r="J31" s="30" t="str">
        <f t="shared" si="15"/>
        <v>A</v>
      </c>
      <c r="K31" s="30" t="str">
        <f t="shared" si="15"/>
        <v>A</v>
      </c>
      <c r="L31" s="30" t="str">
        <f t="shared" si="15"/>
        <v>A</v>
      </c>
      <c r="M31" s="30" t="str">
        <f t="shared" si="15"/>
        <v>A</v>
      </c>
      <c r="N31" s="30" t="str">
        <f t="shared" si="15"/>
        <v>A</v>
      </c>
      <c r="O31" s="53"/>
    </row>
    <row r="32" spans="1:15" s="5" customFormat="1" ht="13.5" customHeight="1" x14ac:dyDescent="0.3">
      <c r="A32" s="14">
        <v>15</v>
      </c>
      <c r="B32" s="15" t="s">
        <v>135</v>
      </c>
      <c r="C32" s="2" t="s">
        <v>497</v>
      </c>
      <c r="D32" s="4" t="s">
        <v>375</v>
      </c>
      <c r="E32" s="30">
        <v>75</v>
      </c>
      <c r="F32" s="30">
        <v>96</v>
      </c>
      <c r="G32" s="30">
        <v>81</v>
      </c>
      <c r="H32" s="30">
        <v>81</v>
      </c>
      <c r="I32" s="30">
        <v>82</v>
      </c>
      <c r="J32" s="30">
        <v>100</v>
      </c>
      <c r="K32" s="30">
        <v>100</v>
      </c>
      <c r="L32" s="30">
        <v>93</v>
      </c>
      <c r="M32" s="30">
        <v>99</v>
      </c>
      <c r="N32" s="30">
        <v>100</v>
      </c>
      <c r="O32" s="53">
        <f t="shared" si="11"/>
        <v>90.7</v>
      </c>
    </row>
    <row r="33" spans="1:15" s="5" customFormat="1" ht="13.5" customHeight="1" x14ac:dyDescent="0.3">
      <c r="A33" s="14"/>
      <c r="B33" s="15"/>
      <c r="C33" s="2"/>
      <c r="D33" s="4"/>
      <c r="E33" s="30" t="str">
        <f>IF(E32&gt;=90,"A",IF(E32&gt;=80,"B",IF(E32&gt;=70,"C",IF(E32&gt;=60,"D","F"))))</f>
        <v>C</v>
      </c>
      <c r="F33" s="30" t="str">
        <f t="shared" ref="F33:N33" si="16">IF(F32&gt;=90,"A",IF(F32&gt;=80,"B",IF(F32&gt;=70,"C",IF(F32&gt;=60,"D","F"))))</f>
        <v>A</v>
      </c>
      <c r="G33" s="30" t="str">
        <f t="shared" si="16"/>
        <v>B</v>
      </c>
      <c r="H33" s="30" t="str">
        <f t="shared" si="16"/>
        <v>B</v>
      </c>
      <c r="I33" s="30" t="str">
        <f t="shared" si="16"/>
        <v>B</v>
      </c>
      <c r="J33" s="30" t="str">
        <f t="shared" si="16"/>
        <v>A</v>
      </c>
      <c r="K33" s="30" t="str">
        <f t="shared" si="16"/>
        <v>A</v>
      </c>
      <c r="L33" s="30" t="str">
        <f t="shared" si="16"/>
        <v>A</v>
      </c>
      <c r="M33" s="30" t="str">
        <f t="shared" si="16"/>
        <v>A</v>
      </c>
      <c r="N33" s="30" t="str">
        <f t="shared" si="16"/>
        <v>A</v>
      </c>
      <c r="O33" s="53"/>
    </row>
    <row r="34" spans="1:15" s="5" customFormat="1" ht="13.5" customHeight="1" x14ac:dyDescent="0.3">
      <c r="A34" s="14">
        <v>16</v>
      </c>
      <c r="B34" s="15" t="s">
        <v>136</v>
      </c>
      <c r="C34" s="2" t="s">
        <v>498</v>
      </c>
      <c r="D34" s="4" t="s">
        <v>375</v>
      </c>
      <c r="E34" s="30">
        <v>70</v>
      </c>
      <c r="F34" s="30">
        <v>78</v>
      </c>
      <c r="G34" s="30">
        <v>85</v>
      </c>
      <c r="H34" s="30">
        <v>80</v>
      </c>
      <c r="I34" s="30">
        <v>83</v>
      </c>
      <c r="J34" s="30">
        <v>100</v>
      </c>
      <c r="K34" s="30">
        <v>99</v>
      </c>
      <c r="L34" s="30">
        <v>91</v>
      </c>
      <c r="M34" s="30">
        <v>91</v>
      </c>
      <c r="N34" s="30">
        <v>98</v>
      </c>
      <c r="O34" s="53">
        <f t="shared" si="11"/>
        <v>87.5</v>
      </c>
    </row>
    <row r="35" spans="1:15" s="5" customFormat="1" ht="13.5" customHeight="1" x14ac:dyDescent="0.3">
      <c r="A35" s="14"/>
      <c r="B35" s="15"/>
      <c r="C35" s="2"/>
      <c r="D35" s="4"/>
      <c r="E35" s="30" t="str">
        <f>IF(E34&gt;=90,"A",IF(E34&gt;=80,"B",IF(E34&gt;=70,"C",IF(E34&gt;=60,"D","F"))))</f>
        <v>C</v>
      </c>
      <c r="F35" s="30" t="str">
        <f t="shared" ref="F35:N35" si="17">IF(F34&gt;=90,"A",IF(F34&gt;=80,"B",IF(F34&gt;=70,"C",IF(F34&gt;=60,"D","F"))))</f>
        <v>C</v>
      </c>
      <c r="G35" s="30" t="str">
        <f t="shared" si="17"/>
        <v>B</v>
      </c>
      <c r="H35" s="30" t="str">
        <f t="shared" si="17"/>
        <v>B</v>
      </c>
      <c r="I35" s="30" t="str">
        <f t="shared" si="17"/>
        <v>B</v>
      </c>
      <c r="J35" s="30" t="str">
        <f t="shared" si="17"/>
        <v>A</v>
      </c>
      <c r="K35" s="30" t="str">
        <f t="shared" si="17"/>
        <v>A</v>
      </c>
      <c r="L35" s="30" t="str">
        <f t="shared" si="17"/>
        <v>A</v>
      </c>
      <c r="M35" s="30" t="str">
        <f t="shared" si="17"/>
        <v>A</v>
      </c>
      <c r="N35" s="30" t="str">
        <f t="shared" si="17"/>
        <v>A</v>
      </c>
      <c r="O35" s="53"/>
    </row>
    <row r="36" spans="1:15" s="5" customFormat="1" ht="13.5" customHeight="1" x14ac:dyDescent="0.3">
      <c r="A36" s="14">
        <v>17</v>
      </c>
      <c r="B36" s="15" t="s">
        <v>137</v>
      </c>
      <c r="C36" s="2" t="s">
        <v>499</v>
      </c>
      <c r="D36" s="4" t="s">
        <v>376</v>
      </c>
      <c r="E36" s="30">
        <v>77</v>
      </c>
      <c r="F36" s="30">
        <v>80</v>
      </c>
      <c r="G36" s="30">
        <v>87</v>
      </c>
      <c r="H36" s="30">
        <v>87</v>
      </c>
      <c r="I36" s="30">
        <v>81</v>
      </c>
      <c r="J36" s="30">
        <v>99</v>
      </c>
      <c r="K36" s="30">
        <v>99</v>
      </c>
      <c r="L36" s="30">
        <v>83</v>
      </c>
      <c r="M36" s="30">
        <v>100</v>
      </c>
      <c r="N36" s="30">
        <v>97</v>
      </c>
      <c r="O36" s="53">
        <f t="shared" si="11"/>
        <v>89</v>
      </c>
    </row>
    <row r="37" spans="1:15" s="5" customFormat="1" ht="13.5" customHeight="1" x14ac:dyDescent="0.3">
      <c r="A37" s="14"/>
      <c r="B37" s="15"/>
      <c r="C37" s="2"/>
      <c r="D37" s="4"/>
      <c r="E37" s="30" t="str">
        <f>IF(E36&gt;=90,"A",IF(E36&gt;=80,"B",IF(E36&gt;=70,"C",IF(E36&gt;=60,"D","F"))))</f>
        <v>C</v>
      </c>
      <c r="F37" s="30" t="str">
        <f t="shared" ref="F37:N37" si="18">IF(F36&gt;=90,"A",IF(F36&gt;=80,"B",IF(F36&gt;=70,"C",IF(F36&gt;=60,"D","F"))))</f>
        <v>B</v>
      </c>
      <c r="G37" s="30" t="str">
        <f t="shared" si="18"/>
        <v>B</v>
      </c>
      <c r="H37" s="30" t="str">
        <f t="shared" si="18"/>
        <v>B</v>
      </c>
      <c r="I37" s="30" t="str">
        <f t="shared" si="18"/>
        <v>B</v>
      </c>
      <c r="J37" s="30" t="str">
        <f t="shared" si="18"/>
        <v>A</v>
      </c>
      <c r="K37" s="30" t="str">
        <f t="shared" si="18"/>
        <v>A</v>
      </c>
      <c r="L37" s="30" t="str">
        <f t="shared" si="18"/>
        <v>B</v>
      </c>
      <c r="M37" s="30" t="str">
        <f t="shared" si="18"/>
        <v>A</v>
      </c>
      <c r="N37" s="30" t="str">
        <f t="shared" si="18"/>
        <v>A</v>
      </c>
      <c r="O37" s="53"/>
    </row>
    <row r="38" spans="1:15" s="5" customFormat="1" ht="13.5" customHeight="1" x14ac:dyDescent="0.3">
      <c r="A38" s="14">
        <v>18</v>
      </c>
      <c r="B38" s="15" t="s">
        <v>138</v>
      </c>
      <c r="C38" s="2" t="s">
        <v>500</v>
      </c>
      <c r="D38" s="4" t="s">
        <v>376</v>
      </c>
      <c r="E38" s="30">
        <v>93</v>
      </c>
      <c r="F38" s="30">
        <v>97</v>
      </c>
      <c r="G38" s="30">
        <v>98</v>
      </c>
      <c r="H38" s="30">
        <v>99</v>
      </c>
      <c r="I38" s="30">
        <v>98</v>
      </c>
      <c r="J38" s="30">
        <v>100</v>
      </c>
      <c r="K38" s="30">
        <v>99</v>
      </c>
      <c r="L38" s="30">
        <v>100</v>
      </c>
      <c r="M38" s="30">
        <v>100</v>
      </c>
      <c r="N38" s="30">
        <v>100</v>
      </c>
      <c r="O38" s="53">
        <f t="shared" si="11"/>
        <v>98.4</v>
      </c>
    </row>
    <row r="39" spans="1:15" s="5" customFormat="1" ht="13.5" customHeight="1" x14ac:dyDescent="0.3">
      <c r="A39" s="14"/>
      <c r="B39" s="15"/>
      <c r="C39" s="2"/>
      <c r="D39" s="4"/>
      <c r="E39" s="30" t="str">
        <f>IF(E38&gt;=90,"A",IF(E38&gt;=80,"B",IF(E38&gt;=70,"C",IF(E38&gt;=60,"D","F"))))</f>
        <v>A</v>
      </c>
      <c r="F39" s="30" t="str">
        <f t="shared" ref="F39:N39" si="19">IF(F38&gt;=90,"A",IF(F38&gt;=80,"B",IF(F38&gt;=70,"C",IF(F38&gt;=60,"D","F"))))</f>
        <v>A</v>
      </c>
      <c r="G39" s="30" t="str">
        <f t="shared" si="19"/>
        <v>A</v>
      </c>
      <c r="H39" s="30" t="str">
        <f t="shared" si="19"/>
        <v>A</v>
      </c>
      <c r="I39" s="30" t="str">
        <f t="shared" si="19"/>
        <v>A</v>
      </c>
      <c r="J39" s="30" t="str">
        <f t="shared" si="19"/>
        <v>A</v>
      </c>
      <c r="K39" s="30" t="str">
        <f t="shared" si="19"/>
        <v>A</v>
      </c>
      <c r="L39" s="30" t="str">
        <f t="shared" si="19"/>
        <v>A</v>
      </c>
      <c r="M39" s="30" t="str">
        <f t="shared" si="19"/>
        <v>A</v>
      </c>
      <c r="N39" s="30" t="str">
        <f t="shared" si="19"/>
        <v>A</v>
      </c>
      <c r="O39" s="53"/>
    </row>
    <row r="40" spans="1:15" s="5" customFormat="1" ht="13.5" customHeight="1" x14ac:dyDescent="0.3">
      <c r="A40" s="14">
        <v>19</v>
      </c>
      <c r="B40" s="15" t="s">
        <v>139</v>
      </c>
      <c r="C40" s="2" t="s">
        <v>501</v>
      </c>
      <c r="D40" s="4" t="s">
        <v>376</v>
      </c>
      <c r="E40" s="30">
        <v>78</v>
      </c>
      <c r="F40" s="30">
        <v>89</v>
      </c>
      <c r="G40" s="30">
        <v>84</v>
      </c>
      <c r="H40" s="30">
        <v>78</v>
      </c>
      <c r="I40" s="30">
        <v>81</v>
      </c>
      <c r="J40" s="30">
        <v>96</v>
      </c>
      <c r="K40" s="30">
        <v>99</v>
      </c>
      <c r="L40" s="30">
        <v>100</v>
      </c>
      <c r="M40" s="30">
        <v>100</v>
      </c>
      <c r="N40" s="30">
        <v>100</v>
      </c>
      <c r="O40" s="53">
        <f t="shared" si="11"/>
        <v>90.5</v>
      </c>
    </row>
    <row r="41" spans="1:15" s="5" customFormat="1" ht="13.5" customHeight="1" x14ac:dyDescent="0.3">
      <c r="A41" s="14"/>
      <c r="B41" s="15"/>
      <c r="C41" s="2"/>
      <c r="D41" s="4"/>
      <c r="E41" s="30" t="str">
        <f>IF(E40&gt;=90,"A",IF(E40&gt;=80,"B",IF(E40&gt;=70,"C",IF(E40&gt;=60,"D","F"))))</f>
        <v>C</v>
      </c>
      <c r="F41" s="30" t="str">
        <f t="shared" ref="F41:N41" si="20">IF(F40&gt;=90,"A",IF(F40&gt;=80,"B",IF(F40&gt;=70,"C",IF(F40&gt;=60,"D","F"))))</f>
        <v>B</v>
      </c>
      <c r="G41" s="30" t="str">
        <f t="shared" si="20"/>
        <v>B</v>
      </c>
      <c r="H41" s="30" t="str">
        <f t="shared" si="20"/>
        <v>C</v>
      </c>
      <c r="I41" s="30" t="str">
        <f t="shared" si="20"/>
        <v>B</v>
      </c>
      <c r="J41" s="30" t="str">
        <f t="shared" si="20"/>
        <v>A</v>
      </c>
      <c r="K41" s="30" t="str">
        <f t="shared" si="20"/>
        <v>A</v>
      </c>
      <c r="L41" s="30" t="str">
        <f t="shared" si="20"/>
        <v>A</v>
      </c>
      <c r="M41" s="30" t="str">
        <f t="shared" si="20"/>
        <v>A</v>
      </c>
      <c r="N41" s="30" t="str">
        <f t="shared" si="20"/>
        <v>A</v>
      </c>
      <c r="O41" s="53"/>
    </row>
    <row r="42" spans="1:15" s="5" customFormat="1" ht="13.5" customHeight="1" x14ac:dyDescent="0.3">
      <c r="A42" s="14">
        <v>20</v>
      </c>
      <c r="B42" s="15" t="s">
        <v>140</v>
      </c>
      <c r="C42" s="2" t="s">
        <v>502</v>
      </c>
      <c r="D42" s="4" t="s">
        <v>376</v>
      </c>
      <c r="E42" s="30">
        <v>67</v>
      </c>
      <c r="F42" s="30">
        <v>80</v>
      </c>
      <c r="G42" s="30">
        <v>76</v>
      </c>
      <c r="H42" s="30">
        <v>78</v>
      </c>
      <c r="I42" s="30">
        <v>78</v>
      </c>
      <c r="J42" s="30">
        <v>100</v>
      </c>
      <c r="K42" s="30">
        <v>99</v>
      </c>
      <c r="L42" s="30">
        <v>92</v>
      </c>
      <c r="M42" s="30">
        <v>100</v>
      </c>
      <c r="N42" s="30">
        <v>92</v>
      </c>
      <c r="O42" s="53">
        <f t="shared" si="11"/>
        <v>86.2</v>
      </c>
    </row>
    <row r="43" spans="1:15" s="5" customFormat="1" ht="13.5" customHeight="1" x14ac:dyDescent="0.3">
      <c r="A43" s="14"/>
      <c r="B43" s="15"/>
      <c r="C43" s="2"/>
      <c r="D43" s="4"/>
      <c r="E43" s="30" t="str">
        <f>IF(E42&gt;=90,"A",IF(E42&gt;=80,"B",IF(E42&gt;=70,"C",IF(E42&gt;=60,"D","F"))))</f>
        <v>D</v>
      </c>
      <c r="F43" s="30" t="str">
        <f t="shared" ref="F43:N43" si="21">IF(F42&gt;=90,"A",IF(F42&gt;=80,"B",IF(F42&gt;=70,"C",IF(F42&gt;=60,"D","F"))))</f>
        <v>B</v>
      </c>
      <c r="G43" s="30" t="str">
        <f t="shared" si="21"/>
        <v>C</v>
      </c>
      <c r="H43" s="30" t="str">
        <f t="shared" si="21"/>
        <v>C</v>
      </c>
      <c r="I43" s="30" t="str">
        <f t="shared" si="21"/>
        <v>C</v>
      </c>
      <c r="J43" s="30" t="str">
        <f t="shared" si="21"/>
        <v>A</v>
      </c>
      <c r="K43" s="30" t="str">
        <f t="shared" si="21"/>
        <v>A</v>
      </c>
      <c r="L43" s="30" t="str">
        <f t="shared" si="21"/>
        <v>A</v>
      </c>
      <c r="M43" s="30" t="str">
        <f t="shared" si="21"/>
        <v>A</v>
      </c>
      <c r="N43" s="30" t="str">
        <f t="shared" si="21"/>
        <v>A</v>
      </c>
      <c r="O43" s="53"/>
    </row>
    <row r="44" spans="1:15" s="5" customFormat="1" ht="13.5" customHeight="1" x14ac:dyDescent="0.3">
      <c r="A44" s="14">
        <v>21</v>
      </c>
      <c r="B44" s="15" t="s">
        <v>141</v>
      </c>
      <c r="C44" s="2" t="s">
        <v>503</v>
      </c>
      <c r="D44" s="4" t="s">
        <v>375</v>
      </c>
      <c r="E44" s="30">
        <v>77</v>
      </c>
      <c r="F44" s="30">
        <v>95</v>
      </c>
      <c r="G44" s="30">
        <v>85</v>
      </c>
      <c r="H44" s="30">
        <v>85</v>
      </c>
      <c r="I44" s="30">
        <v>85</v>
      </c>
      <c r="J44" s="30">
        <v>100</v>
      </c>
      <c r="K44" s="30">
        <v>99</v>
      </c>
      <c r="L44" s="30">
        <v>94</v>
      </c>
      <c r="M44" s="30">
        <v>100</v>
      </c>
      <c r="N44" s="30">
        <v>100</v>
      </c>
      <c r="O44" s="53">
        <f t="shared" si="11"/>
        <v>92</v>
      </c>
    </row>
    <row r="45" spans="1:15" s="5" customFormat="1" ht="13.5" customHeight="1" x14ac:dyDescent="0.3">
      <c r="A45" s="14"/>
      <c r="B45" s="15"/>
      <c r="C45" s="2"/>
      <c r="D45" s="4"/>
      <c r="E45" s="30" t="str">
        <f>IF(E44&gt;=90,"A",IF(E44&gt;=80,"B",IF(E44&gt;=70,"C",IF(E44&gt;=60,"D","F"))))</f>
        <v>C</v>
      </c>
      <c r="F45" s="30" t="str">
        <f t="shared" ref="F45:N45" si="22">IF(F44&gt;=90,"A",IF(F44&gt;=80,"B",IF(F44&gt;=70,"C",IF(F44&gt;=60,"D","F"))))</f>
        <v>A</v>
      </c>
      <c r="G45" s="30" t="str">
        <f t="shared" si="22"/>
        <v>B</v>
      </c>
      <c r="H45" s="30" t="str">
        <f t="shared" si="22"/>
        <v>B</v>
      </c>
      <c r="I45" s="30" t="str">
        <f t="shared" si="22"/>
        <v>B</v>
      </c>
      <c r="J45" s="30" t="str">
        <f t="shared" si="22"/>
        <v>A</v>
      </c>
      <c r="K45" s="30" t="str">
        <f t="shared" si="22"/>
        <v>A</v>
      </c>
      <c r="L45" s="30" t="str">
        <f t="shared" si="22"/>
        <v>A</v>
      </c>
      <c r="M45" s="30" t="str">
        <f t="shared" si="22"/>
        <v>A</v>
      </c>
      <c r="N45" s="30" t="str">
        <f t="shared" si="22"/>
        <v>A</v>
      </c>
      <c r="O45" s="53"/>
    </row>
    <row r="46" spans="1:15" s="5" customFormat="1" ht="13.5" customHeight="1" x14ac:dyDescent="0.3">
      <c r="A46" s="14">
        <v>22</v>
      </c>
      <c r="B46" s="15" t="s">
        <v>142</v>
      </c>
      <c r="C46" s="2" t="s">
        <v>504</v>
      </c>
      <c r="D46" s="4" t="s">
        <v>375</v>
      </c>
      <c r="E46" s="30">
        <v>86</v>
      </c>
      <c r="F46" s="30">
        <v>94</v>
      </c>
      <c r="G46" s="30">
        <v>95</v>
      </c>
      <c r="H46" s="30">
        <v>92</v>
      </c>
      <c r="I46" s="30">
        <v>92</v>
      </c>
      <c r="J46" s="30">
        <v>94</v>
      </c>
      <c r="K46" s="30">
        <v>100</v>
      </c>
      <c r="L46" s="30">
        <v>100</v>
      </c>
      <c r="M46" s="30">
        <v>100</v>
      </c>
      <c r="N46" s="30">
        <v>97</v>
      </c>
      <c r="O46" s="53">
        <f t="shared" si="11"/>
        <v>95</v>
      </c>
    </row>
    <row r="47" spans="1:15" s="5" customFormat="1" ht="13.5" customHeight="1" x14ac:dyDescent="0.3">
      <c r="A47" s="14"/>
      <c r="B47" s="15"/>
      <c r="C47" s="2"/>
      <c r="D47" s="4"/>
      <c r="E47" s="30" t="str">
        <f>IF(E46&gt;=90,"A",IF(E46&gt;=80,"B",IF(E46&gt;=70,"C",IF(E46&gt;=60,"D","F"))))</f>
        <v>B</v>
      </c>
      <c r="F47" s="30" t="str">
        <f t="shared" ref="F47:N47" si="23">IF(F46&gt;=90,"A",IF(F46&gt;=80,"B",IF(F46&gt;=70,"C",IF(F46&gt;=60,"D","F"))))</f>
        <v>A</v>
      </c>
      <c r="G47" s="30" t="str">
        <f t="shared" si="23"/>
        <v>A</v>
      </c>
      <c r="H47" s="30" t="str">
        <f t="shared" si="23"/>
        <v>A</v>
      </c>
      <c r="I47" s="30" t="str">
        <f t="shared" si="23"/>
        <v>A</v>
      </c>
      <c r="J47" s="30" t="str">
        <f t="shared" si="23"/>
        <v>A</v>
      </c>
      <c r="K47" s="30" t="str">
        <f t="shared" si="23"/>
        <v>A</v>
      </c>
      <c r="L47" s="30" t="str">
        <f t="shared" si="23"/>
        <v>A</v>
      </c>
      <c r="M47" s="30" t="str">
        <f t="shared" si="23"/>
        <v>A</v>
      </c>
      <c r="N47" s="30" t="str">
        <f t="shared" si="23"/>
        <v>A</v>
      </c>
      <c r="O47" s="53"/>
    </row>
    <row r="48" spans="1:15" s="5" customFormat="1" ht="13.5" customHeight="1" x14ac:dyDescent="0.3">
      <c r="A48" s="14">
        <v>23</v>
      </c>
      <c r="B48" s="15" t="s">
        <v>5</v>
      </c>
      <c r="C48" s="2" t="s">
        <v>505</v>
      </c>
      <c r="D48" s="4" t="s">
        <v>375</v>
      </c>
      <c r="E48" s="30">
        <v>91</v>
      </c>
      <c r="F48" s="30">
        <v>98</v>
      </c>
      <c r="G48" s="30">
        <v>97</v>
      </c>
      <c r="H48" s="30">
        <v>98</v>
      </c>
      <c r="I48" s="30">
        <v>98</v>
      </c>
      <c r="J48" s="30">
        <v>100</v>
      </c>
      <c r="K48" s="30">
        <v>100</v>
      </c>
      <c r="L48" s="30">
        <v>100</v>
      </c>
      <c r="M48" s="30">
        <v>100</v>
      </c>
      <c r="N48" s="30">
        <v>100</v>
      </c>
      <c r="O48" s="53">
        <f t="shared" si="11"/>
        <v>98.2</v>
      </c>
    </row>
    <row r="49" spans="1:15" s="5" customFormat="1" ht="13.5" customHeight="1" x14ac:dyDescent="0.3">
      <c r="A49" s="14"/>
      <c r="B49" s="15"/>
      <c r="C49" s="2"/>
      <c r="D49" s="4"/>
      <c r="E49" s="30" t="str">
        <f>IF(E48&gt;=90,"A",IF(E48&gt;=80,"B",IF(E48&gt;=70,"C",IF(E48&gt;=60,"D","F"))))</f>
        <v>A</v>
      </c>
      <c r="F49" s="30" t="str">
        <f t="shared" ref="F49:N49" si="24">IF(F48&gt;=90,"A",IF(F48&gt;=80,"B",IF(F48&gt;=70,"C",IF(F48&gt;=60,"D","F"))))</f>
        <v>A</v>
      </c>
      <c r="G49" s="30" t="str">
        <f t="shared" si="24"/>
        <v>A</v>
      </c>
      <c r="H49" s="30" t="str">
        <f t="shared" si="24"/>
        <v>A</v>
      </c>
      <c r="I49" s="30" t="str">
        <f t="shared" si="24"/>
        <v>A</v>
      </c>
      <c r="J49" s="30" t="str">
        <f t="shared" si="24"/>
        <v>A</v>
      </c>
      <c r="K49" s="30" t="str">
        <f t="shared" si="24"/>
        <v>A</v>
      </c>
      <c r="L49" s="30" t="str">
        <f t="shared" si="24"/>
        <v>A</v>
      </c>
      <c r="M49" s="30" t="str">
        <f t="shared" si="24"/>
        <v>A</v>
      </c>
      <c r="N49" s="30" t="str">
        <f t="shared" si="24"/>
        <v>A</v>
      </c>
      <c r="O49" s="53"/>
    </row>
    <row r="50" spans="1:15" s="5" customFormat="1" ht="13.5" customHeight="1" x14ac:dyDescent="0.3">
      <c r="A50" s="14">
        <v>24</v>
      </c>
      <c r="B50" s="15" t="s">
        <v>143</v>
      </c>
      <c r="C50" s="2" t="s">
        <v>506</v>
      </c>
      <c r="D50" s="4" t="s">
        <v>375</v>
      </c>
      <c r="E50" s="30">
        <v>95</v>
      </c>
      <c r="F50" s="30">
        <v>98</v>
      </c>
      <c r="G50" s="30">
        <v>98</v>
      </c>
      <c r="H50" s="30">
        <v>97</v>
      </c>
      <c r="I50" s="30">
        <v>98</v>
      </c>
      <c r="J50" s="30">
        <v>100</v>
      </c>
      <c r="K50" s="54">
        <v>100</v>
      </c>
      <c r="L50" s="54">
        <v>97</v>
      </c>
      <c r="M50" s="54">
        <v>100</v>
      </c>
      <c r="N50" s="54">
        <v>100</v>
      </c>
      <c r="O50" s="53">
        <f t="shared" si="11"/>
        <v>98.3</v>
      </c>
    </row>
    <row r="51" spans="1:15" s="5" customFormat="1" ht="13.5" customHeight="1" x14ac:dyDescent="0.3">
      <c r="A51" s="14"/>
      <c r="B51" s="15"/>
      <c r="C51" s="2"/>
      <c r="D51" s="4"/>
      <c r="E51" s="30" t="str">
        <f>IF(E50&gt;=90,"A",IF(E50&gt;=80,"B",IF(E50&gt;=70,"C",IF(E50&gt;=60,"D","F"))))</f>
        <v>A</v>
      </c>
      <c r="F51" s="30" t="str">
        <f t="shared" ref="F51:N51" si="25">IF(F50&gt;=90,"A",IF(F50&gt;=80,"B",IF(F50&gt;=70,"C",IF(F50&gt;=60,"D","F"))))</f>
        <v>A</v>
      </c>
      <c r="G51" s="30" t="str">
        <f t="shared" si="25"/>
        <v>A</v>
      </c>
      <c r="H51" s="30" t="str">
        <f t="shared" si="25"/>
        <v>A</v>
      </c>
      <c r="I51" s="30" t="str">
        <f t="shared" si="25"/>
        <v>A</v>
      </c>
      <c r="J51" s="30" t="str">
        <f t="shared" si="25"/>
        <v>A</v>
      </c>
      <c r="K51" s="30" t="str">
        <f t="shared" si="25"/>
        <v>A</v>
      </c>
      <c r="L51" s="30" t="str">
        <f t="shared" si="25"/>
        <v>A</v>
      </c>
      <c r="M51" s="30" t="str">
        <f t="shared" si="25"/>
        <v>A</v>
      </c>
      <c r="N51" s="30" t="str">
        <f t="shared" si="25"/>
        <v>A</v>
      </c>
      <c r="O51" s="53"/>
    </row>
    <row r="52" spans="1:15" s="5" customFormat="1" ht="13.5" customHeight="1" x14ac:dyDescent="0.3">
      <c r="A52" s="14">
        <v>25</v>
      </c>
      <c r="B52" s="15" t="s">
        <v>9</v>
      </c>
      <c r="C52" s="2" t="s">
        <v>507</v>
      </c>
      <c r="D52" s="22" t="s">
        <v>375</v>
      </c>
      <c r="E52" s="30">
        <v>72</v>
      </c>
      <c r="F52" s="30">
        <v>77</v>
      </c>
      <c r="G52" s="30">
        <v>80</v>
      </c>
      <c r="H52" s="30">
        <v>82</v>
      </c>
      <c r="I52" s="30">
        <v>76</v>
      </c>
      <c r="J52" s="30">
        <v>96</v>
      </c>
      <c r="K52" s="30">
        <v>98</v>
      </c>
      <c r="L52" s="30">
        <v>93</v>
      </c>
      <c r="M52" s="30">
        <v>96</v>
      </c>
      <c r="N52" s="30">
        <v>100</v>
      </c>
      <c r="O52" s="53">
        <f t="shared" si="11"/>
        <v>87</v>
      </c>
    </row>
    <row r="53" spans="1:15" s="5" customFormat="1" ht="13.5" customHeight="1" x14ac:dyDescent="0.3">
      <c r="A53" s="14"/>
      <c r="B53" s="15"/>
      <c r="C53" s="2"/>
      <c r="D53" s="22"/>
      <c r="E53" s="30" t="str">
        <f>IF(E52&gt;=90,"A",IF(E52&gt;=80,"B",IF(E52&gt;=70,"C",IF(E52&gt;=60,"D","F"))))</f>
        <v>C</v>
      </c>
      <c r="F53" s="30" t="str">
        <f t="shared" ref="F53:N53" si="26">IF(F52&gt;=90,"A",IF(F52&gt;=80,"B",IF(F52&gt;=70,"C",IF(F52&gt;=60,"D","F"))))</f>
        <v>C</v>
      </c>
      <c r="G53" s="30" t="str">
        <f t="shared" si="26"/>
        <v>B</v>
      </c>
      <c r="H53" s="30" t="str">
        <f t="shared" si="26"/>
        <v>B</v>
      </c>
      <c r="I53" s="30" t="str">
        <f t="shared" si="26"/>
        <v>C</v>
      </c>
      <c r="J53" s="30" t="str">
        <f t="shared" si="26"/>
        <v>A</v>
      </c>
      <c r="K53" s="30" t="str">
        <f t="shared" si="26"/>
        <v>A</v>
      </c>
      <c r="L53" s="30" t="str">
        <f t="shared" si="26"/>
        <v>A</v>
      </c>
      <c r="M53" s="30" t="str">
        <f t="shared" si="26"/>
        <v>A</v>
      </c>
      <c r="N53" s="30" t="str">
        <f t="shared" si="26"/>
        <v>A</v>
      </c>
      <c r="O53" s="53"/>
    </row>
    <row r="54" spans="1:15" s="5" customFormat="1" ht="13.5" customHeight="1" x14ac:dyDescent="0.3">
      <c r="A54" s="14">
        <v>26</v>
      </c>
      <c r="B54" s="15" t="s">
        <v>144</v>
      </c>
      <c r="C54" s="2" t="s">
        <v>508</v>
      </c>
      <c r="D54" s="10" t="s">
        <v>375</v>
      </c>
      <c r="E54" s="30">
        <v>67</v>
      </c>
      <c r="F54" s="30">
        <v>75</v>
      </c>
      <c r="G54" s="30">
        <v>74</v>
      </c>
      <c r="H54" s="30">
        <v>75</v>
      </c>
      <c r="I54" s="30">
        <v>81</v>
      </c>
      <c r="J54" s="30">
        <v>92</v>
      </c>
      <c r="K54" s="30">
        <v>98</v>
      </c>
      <c r="L54" s="30">
        <v>93</v>
      </c>
      <c r="M54" s="30">
        <v>100</v>
      </c>
      <c r="N54" s="30">
        <v>97</v>
      </c>
      <c r="O54" s="53">
        <f t="shared" si="11"/>
        <v>85.2</v>
      </c>
    </row>
    <row r="55" spans="1:15" s="5" customFormat="1" ht="13.5" customHeight="1" x14ac:dyDescent="0.3">
      <c r="A55" s="14"/>
      <c r="B55" s="15"/>
      <c r="C55" s="2"/>
      <c r="D55" s="10"/>
      <c r="E55" s="30" t="str">
        <f>IF(E54&gt;=90,"A",IF(E54&gt;=80,"B",IF(E54&gt;=70,"C",IF(E54&gt;=60,"D","F"))))</f>
        <v>D</v>
      </c>
      <c r="F55" s="30" t="str">
        <f t="shared" ref="F55:N55" si="27">IF(F54&gt;=90,"A",IF(F54&gt;=80,"B",IF(F54&gt;=70,"C",IF(F54&gt;=60,"D","F"))))</f>
        <v>C</v>
      </c>
      <c r="G55" s="30" t="str">
        <f t="shared" si="27"/>
        <v>C</v>
      </c>
      <c r="H55" s="30" t="str">
        <f t="shared" si="27"/>
        <v>C</v>
      </c>
      <c r="I55" s="30" t="str">
        <f t="shared" si="27"/>
        <v>B</v>
      </c>
      <c r="J55" s="30" t="str">
        <f t="shared" si="27"/>
        <v>A</v>
      </c>
      <c r="K55" s="30" t="str">
        <f t="shared" si="27"/>
        <v>A</v>
      </c>
      <c r="L55" s="30" t="str">
        <f t="shared" si="27"/>
        <v>A</v>
      </c>
      <c r="M55" s="30" t="str">
        <f t="shared" si="27"/>
        <v>A</v>
      </c>
      <c r="N55" s="30" t="str">
        <f t="shared" si="27"/>
        <v>A</v>
      </c>
      <c r="O55" s="53"/>
    </row>
    <row r="56" spans="1:15" s="5" customFormat="1" ht="13.5" customHeight="1" x14ac:dyDescent="0.3">
      <c r="A56" s="22">
        <v>27</v>
      </c>
      <c r="B56" s="15" t="s">
        <v>145</v>
      </c>
      <c r="C56" s="2" t="s">
        <v>509</v>
      </c>
      <c r="D56" s="10" t="s">
        <v>376</v>
      </c>
      <c r="E56" s="30">
        <v>90</v>
      </c>
      <c r="F56" s="30">
        <v>100</v>
      </c>
      <c r="G56" s="30">
        <v>88</v>
      </c>
      <c r="H56" s="30">
        <v>80</v>
      </c>
      <c r="I56" s="30">
        <v>90</v>
      </c>
      <c r="J56" s="30">
        <v>95</v>
      </c>
      <c r="K56" s="30">
        <v>100</v>
      </c>
      <c r="L56" s="30">
        <v>99</v>
      </c>
      <c r="M56" s="30">
        <v>100</v>
      </c>
      <c r="N56" s="30">
        <v>94</v>
      </c>
      <c r="O56" s="53">
        <f t="shared" si="11"/>
        <v>93.6</v>
      </c>
    </row>
    <row r="57" spans="1:15" s="5" customFormat="1" ht="13.5" customHeight="1" x14ac:dyDescent="0.3">
      <c r="A57" s="22"/>
      <c r="B57" s="15"/>
      <c r="C57" s="15"/>
      <c r="D57" s="22"/>
      <c r="E57" s="30" t="str">
        <f>IF(E56&gt;=90,"A",IF(E56&gt;=80,"B",IF(E56&gt;=70,"C",IF(E56&gt;=60,"D","F"))))</f>
        <v>A</v>
      </c>
      <c r="F57" s="30" t="str">
        <f t="shared" ref="F57:N57" si="28">IF(F56&gt;=90,"A",IF(F56&gt;=80,"B",IF(F56&gt;=70,"C",IF(F56&gt;=60,"D","F"))))</f>
        <v>A</v>
      </c>
      <c r="G57" s="30" t="str">
        <f t="shared" si="28"/>
        <v>B</v>
      </c>
      <c r="H57" s="30" t="str">
        <f t="shared" si="28"/>
        <v>B</v>
      </c>
      <c r="I57" s="30" t="str">
        <f t="shared" si="28"/>
        <v>A</v>
      </c>
      <c r="J57" s="30" t="str">
        <f t="shared" si="28"/>
        <v>A</v>
      </c>
      <c r="K57" s="30" t="str">
        <f t="shared" si="28"/>
        <v>A</v>
      </c>
      <c r="L57" s="30" t="str">
        <f t="shared" si="28"/>
        <v>A</v>
      </c>
      <c r="M57" s="30" t="str">
        <f t="shared" si="28"/>
        <v>A</v>
      </c>
      <c r="N57" s="30" t="str">
        <f t="shared" si="28"/>
        <v>A</v>
      </c>
      <c r="O57" s="53"/>
    </row>
  </sheetData>
  <sheetProtection formatCells="0" formatColumns="0" formatRows="0" insertColumns="0" insertRows="0" insertHyperlinks="0" deleteColumns="0" deleteRows="0" sort="0" autoFilter="0" pivotTables="0"/>
  <autoFilter ref="A1:D57" xr:uid="{00000000-0009-0000-0000-000007000000}">
    <filterColumn colId="0" showButton="0"/>
  </autoFilter>
  <mergeCells count="1">
    <mergeCell ref="A1:B2"/>
  </mergeCells>
  <pageMargins left="0.23" right="0.17" top="0.59" bottom="0" header="0.17" footer="0.3"/>
  <pageSetup paperSize="9" orientation="landscape" r:id="rId1"/>
  <headerFooter>
    <oddFooter xml:space="preserve">&amp;C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7"/>
  <sheetViews>
    <sheetView zoomScaleNormal="100" workbookViewId="0">
      <selection activeCell="G57" sqref="G57"/>
    </sheetView>
  </sheetViews>
  <sheetFormatPr defaultRowHeight="15" x14ac:dyDescent="0.25"/>
  <cols>
    <col min="1" max="1" width="4.42578125" style="13" customWidth="1"/>
    <col min="2" max="2" width="23.5703125" style="28" customWidth="1"/>
    <col min="3" max="3" width="11.28515625" style="28" bestFit="1" customWidth="1"/>
    <col min="4" max="4" width="3.7109375" style="7" customWidth="1"/>
    <col min="5" max="5" width="8.140625" style="28" customWidth="1"/>
    <col min="6" max="6" width="8.5703125" style="28" customWidth="1"/>
    <col min="7" max="7" width="13.140625" style="28" bestFit="1" customWidth="1"/>
    <col min="8" max="8" width="8" style="28" customWidth="1"/>
    <col min="9" max="9" width="14.28515625" style="28" bestFit="1" customWidth="1"/>
    <col min="10" max="10" width="7.7109375" style="28" customWidth="1"/>
    <col min="11" max="11" width="6.85546875" style="28" customWidth="1"/>
    <col min="12" max="12" width="9.5703125" style="28" customWidth="1"/>
    <col min="13" max="13" width="7.5703125" style="28" customWidth="1"/>
    <col min="14" max="14" width="7" style="28" customWidth="1"/>
    <col min="15" max="15" width="7.85546875" style="28" customWidth="1"/>
    <col min="16" max="16" width="9.42578125" style="2" bestFit="1" customWidth="1"/>
    <col min="17" max="16384" width="9.140625" style="2"/>
  </cols>
  <sheetData>
    <row r="1" spans="1:16" ht="6" customHeight="1" x14ac:dyDescent="0.25">
      <c r="A1" s="85" t="s">
        <v>511</v>
      </c>
      <c r="B1" s="86"/>
      <c r="C1" s="80"/>
    </row>
    <row r="2" spans="1:16" ht="10.5" customHeight="1" x14ac:dyDescent="0.25">
      <c r="A2" s="87"/>
      <c r="B2" s="88"/>
      <c r="C2" s="80"/>
    </row>
    <row r="3" spans="1:16" ht="15.75" customHeight="1" x14ac:dyDescent="0.25">
      <c r="A3" s="23" t="s">
        <v>0</v>
      </c>
      <c r="B3" s="24" t="s">
        <v>1</v>
      </c>
      <c r="C3" s="24"/>
      <c r="D3" s="20" t="s">
        <v>2</v>
      </c>
      <c r="E3" s="29" t="s">
        <v>426</v>
      </c>
      <c r="F3" s="29" t="s">
        <v>427</v>
      </c>
      <c r="G3" s="29" t="s">
        <v>456</v>
      </c>
      <c r="H3" s="29" t="s">
        <v>423</v>
      </c>
      <c r="I3" s="29" t="s">
        <v>827</v>
      </c>
      <c r="J3" s="29" t="s">
        <v>431</v>
      </c>
      <c r="K3" s="29" t="s">
        <v>432</v>
      </c>
      <c r="L3" s="29" t="s">
        <v>445</v>
      </c>
      <c r="M3" s="29" t="s">
        <v>424</v>
      </c>
      <c r="N3" s="29" t="s">
        <v>425</v>
      </c>
      <c r="O3" s="29" t="s">
        <v>438</v>
      </c>
      <c r="P3" s="29" t="s">
        <v>428</v>
      </c>
    </row>
    <row r="4" spans="1:16" s="5" customFormat="1" ht="13.5" customHeight="1" x14ac:dyDescent="0.3">
      <c r="A4" s="14">
        <v>1</v>
      </c>
      <c r="B4" s="17" t="s">
        <v>146</v>
      </c>
      <c r="C4" s="2" t="s">
        <v>512</v>
      </c>
      <c r="D4" s="22" t="s">
        <v>375</v>
      </c>
      <c r="E4" s="18">
        <v>87</v>
      </c>
      <c r="F4" s="18">
        <v>92</v>
      </c>
      <c r="G4" s="18">
        <v>96</v>
      </c>
      <c r="H4" s="18">
        <v>90</v>
      </c>
      <c r="I4" s="18">
        <v>92</v>
      </c>
      <c r="J4" s="18">
        <v>86</v>
      </c>
      <c r="K4" s="18">
        <v>100</v>
      </c>
      <c r="L4" s="18">
        <v>97</v>
      </c>
      <c r="M4" s="18">
        <v>97</v>
      </c>
      <c r="N4" s="18">
        <v>99</v>
      </c>
      <c r="O4" s="30">
        <v>100</v>
      </c>
      <c r="P4" s="58">
        <f>AVERAGE(E4:O4)</f>
        <v>94.181818181818187</v>
      </c>
    </row>
    <row r="5" spans="1:16" s="5" customFormat="1" ht="13.5" customHeight="1" x14ac:dyDescent="0.3">
      <c r="A5" s="14"/>
      <c r="B5" s="17"/>
      <c r="C5" s="2"/>
      <c r="D5" s="22"/>
      <c r="E5" s="30" t="str">
        <f t="shared" ref="E5:O5" si="0">IF(E4&gt;=90,"A",IF(E4&gt;=80,"B",IF(E4&gt;=70,"C",IF(E4&gt;=60,"D","F"))))</f>
        <v>B</v>
      </c>
      <c r="F5" s="30" t="str">
        <f t="shared" si="0"/>
        <v>A</v>
      </c>
      <c r="G5" s="30" t="str">
        <f t="shared" si="0"/>
        <v>A</v>
      </c>
      <c r="H5" s="30" t="str">
        <f t="shared" si="0"/>
        <v>A</v>
      </c>
      <c r="I5" s="30" t="str">
        <f t="shared" si="0"/>
        <v>A</v>
      </c>
      <c r="J5" s="30" t="str">
        <f t="shared" si="0"/>
        <v>B</v>
      </c>
      <c r="K5" s="30" t="str">
        <f t="shared" si="0"/>
        <v>A</v>
      </c>
      <c r="L5" s="30" t="str">
        <f t="shared" si="0"/>
        <v>A</v>
      </c>
      <c r="M5" s="30" t="str">
        <f t="shared" si="0"/>
        <v>A</v>
      </c>
      <c r="N5" s="30" t="str">
        <f t="shared" si="0"/>
        <v>A</v>
      </c>
      <c r="O5" s="30" t="str">
        <f t="shared" si="0"/>
        <v>A</v>
      </c>
      <c r="P5" s="58"/>
    </row>
    <row r="6" spans="1:16" s="5" customFormat="1" ht="13.5" customHeight="1" x14ac:dyDescent="0.3">
      <c r="A6" s="14">
        <v>2</v>
      </c>
      <c r="B6" s="17" t="s">
        <v>415</v>
      </c>
      <c r="C6" s="2" t="s">
        <v>513</v>
      </c>
      <c r="D6" s="22" t="s">
        <v>375</v>
      </c>
      <c r="E6" s="30">
        <v>83</v>
      </c>
      <c r="F6" s="30">
        <v>97</v>
      </c>
      <c r="G6" s="30">
        <v>84</v>
      </c>
      <c r="H6" s="30">
        <v>91</v>
      </c>
      <c r="I6" s="30">
        <v>97</v>
      </c>
      <c r="J6" s="30">
        <v>86</v>
      </c>
      <c r="K6" s="30">
        <v>97</v>
      </c>
      <c r="L6" s="30">
        <v>97</v>
      </c>
      <c r="M6" s="30">
        <v>80</v>
      </c>
      <c r="N6" s="30">
        <v>91</v>
      </c>
      <c r="O6" s="30">
        <v>96</v>
      </c>
      <c r="P6" s="58">
        <f t="shared" ref="P6:P56" si="1">AVERAGE(E6:O6)</f>
        <v>90.818181818181813</v>
      </c>
    </row>
    <row r="7" spans="1:16" s="5" customFormat="1" ht="13.5" customHeight="1" x14ac:dyDescent="0.3">
      <c r="A7" s="14"/>
      <c r="B7" s="17"/>
      <c r="C7" s="2"/>
      <c r="D7" s="22"/>
      <c r="E7" s="30" t="str">
        <f>IF(E6&gt;=90,"A",IF(E6&gt;=80,"B",IF(E6&gt;=70,"C",IF(E6&gt;=60,"D","F"))))</f>
        <v>B</v>
      </c>
      <c r="F7" s="30" t="str">
        <f t="shared" ref="F7" si="2">IF(F6&gt;=90,"A",IF(F6&gt;=80,"B",IF(F6&gt;=70,"C",IF(F6&gt;=60,"D","F"))))</f>
        <v>A</v>
      </c>
      <c r="G7" s="30" t="str">
        <f t="shared" ref="G7" si="3">IF(G6&gt;=90,"A",IF(G6&gt;=80,"B",IF(G6&gt;=70,"C",IF(G6&gt;=60,"D","F"))))</f>
        <v>B</v>
      </c>
      <c r="H7" s="30" t="str">
        <f t="shared" ref="H7" si="4">IF(H6&gt;=90,"A",IF(H6&gt;=80,"B",IF(H6&gt;=70,"C",IF(H6&gt;=60,"D","F"))))</f>
        <v>A</v>
      </c>
      <c r="I7" s="30" t="str">
        <f t="shared" ref="I7" si="5">IF(I6&gt;=90,"A",IF(I6&gt;=80,"B",IF(I6&gt;=70,"C",IF(I6&gt;=60,"D","F"))))</f>
        <v>A</v>
      </c>
      <c r="J7" s="30" t="str">
        <f t="shared" ref="J7" si="6">IF(J6&gt;=90,"A",IF(J6&gt;=80,"B",IF(J6&gt;=70,"C",IF(J6&gt;=60,"D","F"))))</f>
        <v>B</v>
      </c>
      <c r="K7" s="30" t="str">
        <f t="shared" ref="K7" si="7">IF(K6&gt;=90,"A",IF(K6&gt;=80,"B",IF(K6&gt;=70,"C",IF(K6&gt;=60,"D","F"))))</f>
        <v>A</v>
      </c>
      <c r="L7" s="30" t="str">
        <f t="shared" ref="L7" si="8">IF(L6&gt;=90,"A",IF(L6&gt;=80,"B",IF(L6&gt;=70,"C",IF(L6&gt;=60,"D","F"))))</f>
        <v>A</v>
      </c>
      <c r="M7" s="30" t="str">
        <f t="shared" ref="M7" si="9">IF(M6&gt;=90,"A",IF(M6&gt;=80,"B",IF(M6&gt;=70,"C",IF(M6&gt;=60,"D","F"))))</f>
        <v>B</v>
      </c>
      <c r="N7" s="30" t="str">
        <f t="shared" ref="N7" si="10">IF(N6&gt;=90,"A",IF(N6&gt;=80,"B",IF(N6&gt;=70,"C",IF(N6&gt;=60,"D","F"))))</f>
        <v>A</v>
      </c>
      <c r="O7" s="30" t="str">
        <f t="shared" ref="O7" si="11">IF(O6&gt;=90,"A",IF(O6&gt;=80,"B",IF(O6&gt;=70,"C",IF(O6&gt;=60,"D","F"))))</f>
        <v>A</v>
      </c>
      <c r="P7" s="58"/>
    </row>
    <row r="8" spans="1:16" s="5" customFormat="1" ht="13.5" customHeight="1" x14ac:dyDescent="0.3">
      <c r="A8" s="14">
        <v>3</v>
      </c>
      <c r="B8" s="17" t="s">
        <v>416</v>
      </c>
      <c r="C8" s="2" t="s">
        <v>514</v>
      </c>
      <c r="D8" s="22" t="s">
        <v>376</v>
      </c>
      <c r="E8" s="30">
        <v>96</v>
      </c>
      <c r="F8" s="61">
        <v>0</v>
      </c>
      <c r="G8" s="30">
        <v>100</v>
      </c>
      <c r="H8" s="30">
        <v>100</v>
      </c>
      <c r="I8" s="30">
        <v>98</v>
      </c>
      <c r="J8" s="30">
        <v>96</v>
      </c>
      <c r="K8" s="30">
        <v>100</v>
      </c>
      <c r="L8" s="30">
        <v>100</v>
      </c>
      <c r="M8" s="30">
        <v>97</v>
      </c>
      <c r="N8" s="30">
        <v>100</v>
      </c>
      <c r="O8" s="30">
        <v>97</v>
      </c>
      <c r="P8" s="58">
        <f t="shared" si="1"/>
        <v>89.454545454545453</v>
      </c>
    </row>
    <row r="9" spans="1:16" s="5" customFormat="1" ht="13.5" customHeight="1" x14ac:dyDescent="0.3">
      <c r="A9" s="14"/>
      <c r="B9" s="17"/>
      <c r="C9" s="2"/>
      <c r="D9" s="22"/>
      <c r="E9" s="30" t="str">
        <f>IF(E8&gt;=90,"A",IF(E8&gt;=80,"B",IF(E8&gt;=70,"C",IF(E8&gt;=60,"D","F"))))</f>
        <v>A</v>
      </c>
      <c r="F9" s="61" t="s">
        <v>429</v>
      </c>
      <c r="G9" s="30" t="str">
        <f t="shared" ref="G9" si="12">IF(G8&gt;=90,"A",IF(G8&gt;=80,"B",IF(G8&gt;=70,"C",IF(G8&gt;=60,"D","F"))))</f>
        <v>A</v>
      </c>
      <c r="H9" s="30" t="str">
        <f t="shared" ref="H9" si="13">IF(H8&gt;=90,"A",IF(H8&gt;=80,"B",IF(H8&gt;=70,"C",IF(H8&gt;=60,"D","F"))))</f>
        <v>A</v>
      </c>
      <c r="I9" s="30" t="str">
        <f t="shared" ref="I9" si="14">IF(I8&gt;=90,"A",IF(I8&gt;=80,"B",IF(I8&gt;=70,"C",IF(I8&gt;=60,"D","F"))))</f>
        <v>A</v>
      </c>
      <c r="J9" s="30" t="str">
        <f t="shared" ref="J9" si="15">IF(J8&gt;=90,"A",IF(J8&gt;=80,"B",IF(J8&gt;=70,"C",IF(J8&gt;=60,"D","F"))))</f>
        <v>A</v>
      </c>
      <c r="K9" s="30" t="str">
        <f t="shared" ref="K9" si="16">IF(K8&gt;=90,"A",IF(K8&gt;=80,"B",IF(K8&gt;=70,"C",IF(K8&gt;=60,"D","F"))))</f>
        <v>A</v>
      </c>
      <c r="L9" s="30" t="str">
        <f t="shared" ref="L9" si="17">IF(L8&gt;=90,"A",IF(L8&gt;=80,"B",IF(L8&gt;=70,"C",IF(L8&gt;=60,"D","F"))))</f>
        <v>A</v>
      </c>
      <c r="M9" s="30" t="str">
        <f t="shared" ref="M9" si="18">IF(M8&gt;=90,"A",IF(M8&gt;=80,"B",IF(M8&gt;=70,"C",IF(M8&gt;=60,"D","F"))))</f>
        <v>A</v>
      </c>
      <c r="N9" s="30" t="str">
        <f t="shared" ref="N9" si="19">IF(N8&gt;=90,"A",IF(N8&gt;=80,"B",IF(N8&gt;=70,"C",IF(N8&gt;=60,"D","F"))))</f>
        <v>A</v>
      </c>
      <c r="O9" s="30" t="str">
        <f t="shared" ref="O9" si="20">IF(O8&gt;=90,"A",IF(O8&gt;=80,"B",IF(O8&gt;=70,"C",IF(O8&gt;=60,"D","F"))))</f>
        <v>A</v>
      </c>
      <c r="P9" s="58"/>
    </row>
    <row r="10" spans="1:16" s="5" customFormat="1" ht="13.5" customHeight="1" x14ac:dyDescent="0.3">
      <c r="A10" s="14">
        <v>4</v>
      </c>
      <c r="B10" s="17" t="s">
        <v>13</v>
      </c>
      <c r="C10" s="2" t="s">
        <v>515</v>
      </c>
      <c r="D10" s="22" t="s">
        <v>375</v>
      </c>
      <c r="E10" s="30">
        <v>73</v>
      </c>
      <c r="F10" s="30">
        <v>86</v>
      </c>
      <c r="G10" s="30">
        <v>74</v>
      </c>
      <c r="H10" s="30">
        <v>81</v>
      </c>
      <c r="I10" s="30">
        <v>81</v>
      </c>
      <c r="J10" s="30">
        <v>90</v>
      </c>
      <c r="K10" s="30">
        <v>100</v>
      </c>
      <c r="L10" s="30">
        <v>94</v>
      </c>
      <c r="M10" s="30">
        <v>93</v>
      </c>
      <c r="N10" s="30">
        <v>100</v>
      </c>
      <c r="O10" s="30">
        <v>100</v>
      </c>
      <c r="P10" s="58">
        <f t="shared" si="1"/>
        <v>88.36363636363636</v>
      </c>
    </row>
    <row r="11" spans="1:16" s="5" customFormat="1" ht="13.5" customHeight="1" x14ac:dyDescent="0.3">
      <c r="A11" s="14"/>
      <c r="B11" s="17"/>
      <c r="C11" s="2"/>
      <c r="D11" s="22"/>
      <c r="E11" s="30" t="str">
        <f>IF(E10&gt;=90,"A",IF(E10&gt;=80,"B",IF(E10&gt;=70,"C",IF(E10&gt;=60,"D","F"))))</f>
        <v>C</v>
      </c>
      <c r="F11" s="30" t="str">
        <f t="shared" ref="F11" si="21">IF(F10&gt;=90,"A",IF(F10&gt;=80,"B",IF(F10&gt;=70,"C",IF(F10&gt;=60,"D","F"))))</f>
        <v>B</v>
      </c>
      <c r="G11" s="30" t="str">
        <f t="shared" ref="G11" si="22">IF(G10&gt;=90,"A",IF(G10&gt;=80,"B",IF(G10&gt;=70,"C",IF(G10&gt;=60,"D","F"))))</f>
        <v>C</v>
      </c>
      <c r="H11" s="30" t="str">
        <f t="shared" ref="H11" si="23">IF(H10&gt;=90,"A",IF(H10&gt;=80,"B",IF(H10&gt;=70,"C",IF(H10&gt;=60,"D","F"))))</f>
        <v>B</v>
      </c>
      <c r="I11" s="30" t="str">
        <f t="shared" ref="I11" si="24">IF(I10&gt;=90,"A",IF(I10&gt;=80,"B",IF(I10&gt;=70,"C",IF(I10&gt;=60,"D","F"))))</f>
        <v>B</v>
      </c>
      <c r="J11" s="30" t="str">
        <f t="shared" ref="J11" si="25">IF(J10&gt;=90,"A",IF(J10&gt;=80,"B",IF(J10&gt;=70,"C",IF(J10&gt;=60,"D","F"))))</f>
        <v>A</v>
      </c>
      <c r="K11" s="30" t="str">
        <f t="shared" ref="K11" si="26">IF(K10&gt;=90,"A",IF(K10&gt;=80,"B",IF(K10&gt;=70,"C",IF(K10&gt;=60,"D","F"))))</f>
        <v>A</v>
      </c>
      <c r="L11" s="30" t="str">
        <f t="shared" ref="L11" si="27">IF(L10&gt;=90,"A",IF(L10&gt;=80,"B",IF(L10&gt;=70,"C",IF(L10&gt;=60,"D","F"))))</f>
        <v>A</v>
      </c>
      <c r="M11" s="30" t="str">
        <f t="shared" ref="M11" si="28">IF(M10&gt;=90,"A",IF(M10&gt;=80,"B",IF(M10&gt;=70,"C",IF(M10&gt;=60,"D","F"))))</f>
        <v>A</v>
      </c>
      <c r="N11" s="30" t="str">
        <f t="shared" ref="N11" si="29">IF(N10&gt;=90,"A",IF(N10&gt;=80,"B",IF(N10&gt;=70,"C",IF(N10&gt;=60,"D","F"))))</f>
        <v>A</v>
      </c>
      <c r="O11" s="30" t="str">
        <f t="shared" ref="O11" si="30">IF(O10&gt;=90,"A",IF(O10&gt;=80,"B",IF(O10&gt;=70,"C",IF(O10&gt;=60,"D","F"))))</f>
        <v>A</v>
      </c>
      <c r="P11" s="58"/>
    </row>
    <row r="12" spans="1:16" s="5" customFormat="1" ht="13.5" customHeight="1" x14ac:dyDescent="0.3">
      <c r="A12" s="14">
        <v>5</v>
      </c>
      <c r="B12" s="16" t="s">
        <v>417</v>
      </c>
      <c r="C12" s="2" t="s">
        <v>516</v>
      </c>
      <c r="D12" s="22" t="s">
        <v>376</v>
      </c>
      <c r="E12" s="18">
        <v>70</v>
      </c>
      <c r="F12" s="18">
        <v>97</v>
      </c>
      <c r="G12" s="18">
        <v>76</v>
      </c>
      <c r="H12" s="18">
        <v>67</v>
      </c>
      <c r="I12" s="18">
        <v>76</v>
      </c>
      <c r="J12" s="18">
        <v>88</v>
      </c>
      <c r="K12" s="30">
        <v>100</v>
      </c>
      <c r="L12" s="30">
        <v>100</v>
      </c>
      <c r="M12" s="30">
        <v>96</v>
      </c>
      <c r="N12" s="30">
        <v>100</v>
      </c>
      <c r="O12" s="30">
        <v>95</v>
      </c>
      <c r="P12" s="58">
        <f t="shared" si="1"/>
        <v>87.727272727272734</v>
      </c>
    </row>
    <row r="13" spans="1:16" s="5" customFormat="1" ht="13.5" customHeight="1" x14ac:dyDescent="0.3">
      <c r="A13" s="14"/>
      <c r="B13" s="16"/>
      <c r="C13" s="2"/>
      <c r="D13" s="22"/>
      <c r="E13" s="30" t="str">
        <f>IF(E12&gt;=90,"A",IF(E12&gt;=80,"B",IF(E12&gt;=70,"C",IF(E12&gt;=60,"D","F"))))</f>
        <v>C</v>
      </c>
      <c r="F13" s="30" t="str">
        <f t="shared" ref="F13" si="31">IF(F12&gt;=90,"A",IF(F12&gt;=80,"B",IF(F12&gt;=70,"C",IF(F12&gt;=60,"D","F"))))</f>
        <v>A</v>
      </c>
      <c r="G13" s="30" t="str">
        <f t="shared" ref="G13" si="32">IF(G12&gt;=90,"A",IF(G12&gt;=80,"B",IF(G12&gt;=70,"C",IF(G12&gt;=60,"D","F"))))</f>
        <v>C</v>
      </c>
      <c r="H13" s="30" t="str">
        <f t="shared" ref="H13" si="33">IF(H12&gt;=90,"A",IF(H12&gt;=80,"B",IF(H12&gt;=70,"C",IF(H12&gt;=60,"D","F"))))</f>
        <v>D</v>
      </c>
      <c r="I13" s="30" t="str">
        <f t="shared" ref="I13" si="34">IF(I12&gt;=90,"A",IF(I12&gt;=80,"B",IF(I12&gt;=70,"C",IF(I12&gt;=60,"D","F"))))</f>
        <v>C</v>
      </c>
      <c r="J13" s="30" t="str">
        <f t="shared" ref="J13" si="35">IF(J12&gt;=90,"A",IF(J12&gt;=80,"B",IF(J12&gt;=70,"C",IF(J12&gt;=60,"D","F"))))</f>
        <v>B</v>
      </c>
      <c r="K13" s="30" t="str">
        <f t="shared" ref="K13" si="36">IF(K12&gt;=90,"A",IF(K12&gt;=80,"B",IF(K12&gt;=70,"C",IF(K12&gt;=60,"D","F"))))</f>
        <v>A</v>
      </c>
      <c r="L13" s="30" t="str">
        <f t="shared" ref="L13" si="37">IF(L12&gt;=90,"A",IF(L12&gt;=80,"B",IF(L12&gt;=70,"C",IF(L12&gt;=60,"D","F"))))</f>
        <v>A</v>
      </c>
      <c r="M13" s="30" t="str">
        <f t="shared" ref="M13" si="38">IF(M12&gt;=90,"A",IF(M12&gt;=80,"B",IF(M12&gt;=70,"C",IF(M12&gt;=60,"D","F"))))</f>
        <v>A</v>
      </c>
      <c r="N13" s="30" t="str">
        <f t="shared" ref="N13" si="39">IF(N12&gt;=90,"A",IF(N12&gt;=80,"B",IF(N12&gt;=70,"C",IF(N12&gt;=60,"D","F"))))</f>
        <v>A</v>
      </c>
      <c r="O13" s="30" t="str">
        <f t="shared" ref="O13" si="40">IF(O12&gt;=90,"A",IF(O12&gt;=80,"B",IF(O12&gt;=70,"C",IF(O12&gt;=60,"D","F"))))</f>
        <v>A</v>
      </c>
      <c r="P13" s="58"/>
    </row>
    <row r="14" spans="1:16" s="5" customFormat="1" ht="13.5" customHeight="1" x14ac:dyDescent="0.3">
      <c r="A14" s="14">
        <v>6</v>
      </c>
      <c r="B14" s="17" t="s">
        <v>147</v>
      </c>
      <c r="C14" s="2" t="s">
        <v>517</v>
      </c>
      <c r="D14" s="22" t="s">
        <v>376</v>
      </c>
      <c r="E14" s="18">
        <v>85</v>
      </c>
      <c r="F14" s="18">
        <v>88</v>
      </c>
      <c r="G14" s="18">
        <v>91</v>
      </c>
      <c r="H14" s="18">
        <v>91</v>
      </c>
      <c r="I14" s="18">
        <v>95</v>
      </c>
      <c r="J14" s="18">
        <v>85</v>
      </c>
      <c r="K14" s="18">
        <v>97</v>
      </c>
      <c r="L14" s="18">
        <v>97</v>
      </c>
      <c r="M14" s="18">
        <v>90</v>
      </c>
      <c r="N14" s="18">
        <v>100</v>
      </c>
      <c r="O14" s="30">
        <v>95</v>
      </c>
      <c r="P14" s="58">
        <f t="shared" si="1"/>
        <v>92.181818181818187</v>
      </c>
    </row>
    <row r="15" spans="1:16" s="5" customFormat="1" ht="13.5" customHeight="1" x14ac:dyDescent="0.3">
      <c r="A15" s="14"/>
      <c r="B15" s="17"/>
      <c r="C15" s="2"/>
      <c r="D15" s="22"/>
      <c r="E15" s="30" t="str">
        <f>IF(E14&gt;=90,"A",IF(E14&gt;=80,"B",IF(E14&gt;=70,"C",IF(E14&gt;=60,"D","F"))))</f>
        <v>B</v>
      </c>
      <c r="F15" s="30" t="str">
        <f t="shared" ref="F15" si="41">IF(F14&gt;=90,"A",IF(F14&gt;=80,"B",IF(F14&gt;=70,"C",IF(F14&gt;=60,"D","F"))))</f>
        <v>B</v>
      </c>
      <c r="G15" s="30" t="str">
        <f t="shared" ref="G15" si="42">IF(G14&gt;=90,"A",IF(G14&gt;=80,"B",IF(G14&gt;=70,"C",IF(G14&gt;=60,"D","F"))))</f>
        <v>A</v>
      </c>
      <c r="H15" s="30" t="str">
        <f t="shared" ref="H15" si="43">IF(H14&gt;=90,"A",IF(H14&gt;=80,"B",IF(H14&gt;=70,"C",IF(H14&gt;=60,"D","F"))))</f>
        <v>A</v>
      </c>
      <c r="I15" s="30" t="str">
        <f t="shared" ref="I15" si="44">IF(I14&gt;=90,"A",IF(I14&gt;=80,"B",IF(I14&gt;=70,"C",IF(I14&gt;=60,"D","F"))))</f>
        <v>A</v>
      </c>
      <c r="J15" s="30" t="str">
        <f t="shared" ref="J15" si="45">IF(J14&gt;=90,"A",IF(J14&gt;=80,"B",IF(J14&gt;=70,"C",IF(J14&gt;=60,"D","F"))))</f>
        <v>B</v>
      </c>
      <c r="K15" s="30" t="str">
        <f t="shared" ref="K15" si="46">IF(K14&gt;=90,"A",IF(K14&gt;=80,"B",IF(K14&gt;=70,"C",IF(K14&gt;=60,"D","F"))))</f>
        <v>A</v>
      </c>
      <c r="L15" s="30" t="str">
        <f t="shared" ref="L15" si="47">IF(L14&gt;=90,"A",IF(L14&gt;=80,"B",IF(L14&gt;=70,"C",IF(L14&gt;=60,"D","F"))))</f>
        <v>A</v>
      </c>
      <c r="M15" s="30" t="str">
        <f t="shared" ref="M15" si="48">IF(M14&gt;=90,"A",IF(M14&gt;=80,"B",IF(M14&gt;=70,"C",IF(M14&gt;=60,"D","F"))))</f>
        <v>A</v>
      </c>
      <c r="N15" s="30" t="str">
        <f t="shared" ref="N15" si="49">IF(N14&gt;=90,"A",IF(N14&gt;=80,"B",IF(N14&gt;=70,"C",IF(N14&gt;=60,"D","F"))))</f>
        <v>A</v>
      </c>
      <c r="O15" s="30" t="str">
        <f t="shared" ref="O15" si="50">IF(O14&gt;=90,"A",IF(O14&gt;=80,"B",IF(O14&gt;=70,"C",IF(O14&gt;=60,"D","F"))))</f>
        <v>A</v>
      </c>
      <c r="P15" s="58"/>
    </row>
    <row r="16" spans="1:16" s="5" customFormat="1" ht="13.5" customHeight="1" x14ac:dyDescent="0.3">
      <c r="A16" s="14">
        <v>7</v>
      </c>
      <c r="B16" s="17" t="s">
        <v>148</v>
      </c>
      <c r="C16" s="2" t="s">
        <v>518</v>
      </c>
      <c r="D16" s="22" t="s">
        <v>375</v>
      </c>
      <c r="E16" s="30">
        <v>92</v>
      </c>
      <c r="F16" s="30">
        <v>90</v>
      </c>
      <c r="G16" s="30">
        <v>83</v>
      </c>
      <c r="H16" s="30">
        <v>95</v>
      </c>
      <c r="I16" s="30">
        <v>95</v>
      </c>
      <c r="J16" s="30">
        <v>97</v>
      </c>
      <c r="K16" s="30">
        <v>97</v>
      </c>
      <c r="L16" s="30">
        <v>99</v>
      </c>
      <c r="M16" s="30">
        <v>90</v>
      </c>
      <c r="N16" s="30">
        <v>97</v>
      </c>
      <c r="O16" s="30">
        <v>100</v>
      </c>
      <c r="P16" s="58">
        <f t="shared" si="1"/>
        <v>94.090909090909093</v>
      </c>
    </row>
    <row r="17" spans="1:16" s="5" customFormat="1" ht="13.5" customHeight="1" x14ac:dyDescent="0.3">
      <c r="A17" s="14"/>
      <c r="B17" s="17"/>
      <c r="C17" s="2"/>
      <c r="D17" s="22"/>
      <c r="E17" s="30" t="str">
        <f>IF(E16&gt;=90,"A",IF(E16&gt;=80,"B",IF(E16&gt;=70,"C",IF(E16&gt;=60,"D","F"))))</f>
        <v>A</v>
      </c>
      <c r="F17" s="30" t="str">
        <f t="shared" ref="F17" si="51">IF(F16&gt;=90,"A",IF(F16&gt;=80,"B",IF(F16&gt;=70,"C",IF(F16&gt;=60,"D","F"))))</f>
        <v>A</v>
      </c>
      <c r="G17" s="30" t="str">
        <f t="shared" ref="G17" si="52">IF(G16&gt;=90,"A",IF(G16&gt;=80,"B",IF(G16&gt;=70,"C",IF(G16&gt;=60,"D","F"))))</f>
        <v>B</v>
      </c>
      <c r="H17" s="30" t="str">
        <f t="shared" ref="H17" si="53">IF(H16&gt;=90,"A",IF(H16&gt;=80,"B",IF(H16&gt;=70,"C",IF(H16&gt;=60,"D","F"))))</f>
        <v>A</v>
      </c>
      <c r="I17" s="30" t="str">
        <f t="shared" ref="I17" si="54">IF(I16&gt;=90,"A",IF(I16&gt;=80,"B",IF(I16&gt;=70,"C",IF(I16&gt;=60,"D","F"))))</f>
        <v>A</v>
      </c>
      <c r="J17" s="30" t="str">
        <f t="shared" ref="J17" si="55">IF(J16&gt;=90,"A",IF(J16&gt;=80,"B",IF(J16&gt;=70,"C",IF(J16&gt;=60,"D","F"))))</f>
        <v>A</v>
      </c>
      <c r="K17" s="30" t="str">
        <f t="shared" ref="K17" si="56">IF(K16&gt;=90,"A",IF(K16&gt;=80,"B",IF(K16&gt;=70,"C",IF(K16&gt;=60,"D","F"))))</f>
        <v>A</v>
      </c>
      <c r="L17" s="30" t="str">
        <f t="shared" ref="L17" si="57">IF(L16&gt;=90,"A",IF(L16&gt;=80,"B",IF(L16&gt;=70,"C",IF(L16&gt;=60,"D","F"))))</f>
        <v>A</v>
      </c>
      <c r="M17" s="30" t="str">
        <f t="shared" ref="M17" si="58">IF(M16&gt;=90,"A",IF(M16&gt;=80,"B",IF(M16&gt;=70,"C",IF(M16&gt;=60,"D","F"))))</f>
        <v>A</v>
      </c>
      <c r="N17" s="30" t="str">
        <f t="shared" ref="N17" si="59">IF(N16&gt;=90,"A",IF(N16&gt;=80,"B",IF(N16&gt;=70,"C",IF(N16&gt;=60,"D","F"))))</f>
        <v>A</v>
      </c>
      <c r="O17" s="30" t="str">
        <f t="shared" ref="O17" si="60">IF(O16&gt;=90,"A",IF(O16&gt;=80,"B",IF(O16&gt;=70,"C",IF(O16&gt;=60,"D","F"))))</f>
        <v>A</v>
      </c>
      <c r="P17" s="58"/>
    </row>
    <row r="18" spans="1:16" s="5" customFormat="1" ht="13.5" customHeight="1" x14ac:dyDescent="0.3">
      <c r="A18" s="14">
        <v>8</v>
      </c>
      <c r="B18" s="17" t="s">
        <v>149</v>
      </c>
      <c r="C18" s="2" t="s">
        <v>519</v>
      </c>
      <c r="D18" s="22" t="s">
        <v>375</v>
      </c>
      <c r="E18" s="30">
        <v>64</v>
      </c>
      <c r="F18" s="30">
        <v>76</v>
      </c>
      <c r="G18" s="30">
        <v>66</v>
      </c>
      <c r="H18" s="30">
        <v>70</v>
      </c>
      <c r="I18" s="30">
        <v>73</v>
      </c>
      <c r="J18" s="30">
        <v>80</v>
      </c>
      <c r="K18" s="30">
        <v>98</v>
      </c>
      <c r="L18" s="30">
        <v>100</v>
      </c>
      <c r="M18" s="30">
        <v>85</v>
      </c>
      <c r="N18" s="30">
        <v>100</v>
      </c>
      <c r="O18" s="30">
        <v>100</v>
      </c>
      <c r="P18" s="58">
        <f t="shared" si="1"/>
        <v>82.909090909090907</v>
      </c>
    </row>
    <row r="19" spans="1:16" s="5" customFormat="1" ht="13.5" customHeight="1" x14ac:dyDescent="0.3">
      <c r="A19" s="14"/>
      <c r="B19" s="17"/>
      <c r="C19" s="2"/>
      <c r="D19" s="22"/>
      <c r="E19" s="30" t="str">
        <f>IF(E18&gt;=90,"A",IF(E18&gt;=80,"B",IF(E18&gt;=70,"C",IF(E18&gt;=60,"D","F"))))</f>
        <v>D</v>
      </c>
      <c r="F19" s="30" t="str">
        <f t="shared" ref="F19" si="61">IF(F18&gt;=90,"A",IF(F18&gt;=80,"B",IF(F18&gt;=70,"C",IF(F18&gt;=60,"D","F"))))</f>
        <v>C</v>
      </c>
      <c r="G19" s="30" t="str">
        <f t="shared" ref="G19" si="62">IF(G18&gt;=90,"A",IF(G18&gt;=80,"B",IF(G18&gt;=70,"C",IF(G18&gt;=60,"D","F"))))</f>
        <v>D</v>
      </c>
      <c r="H19" s="30" t="str">
        <f t="shared" ref="H19" si="63">IF(H18&gt;=90,"A",IF(H18&gt;=80,"B",IF(H18&gt;=70,"C",IF(H18&gt;=60,"D","F"))))</f>
        <v>C</v>
      </c>
      <c r="I19" s="30" t="str">
        <f t="shared" ref="I19" si="64">IF(I18&gt;=90,"A",IF(I18&gt;=80,"B",IF(I18&gt;=70,"C",IF(I18&gt;=60,"D","F"))))</f>
        <v>C</v>
      </c>
      <c r="J19" s="30" t="str">
        <f t="shared" ref="J19" si="65">IF(J18&gt;=90,"A",IF(J18&gt;=80,"B",IF(J18&gt;=70,"C",IF(J18&gt;=60,"D","F"))))</f>
        <v>B</v>
      </c>
      <c r="K19" s="30" t="str">
        <f t="shared" ref="K19" si="66">IF(K18&gt;=90,"A",IF(K18&gt;=80,"B",IF(K18&gt;=70,"C",IF(K18&gt;=60,"D","F"))))</f>
        <v>A</v>
      </c>
      <c r="L19" s="30" t="str">
        <f t="shared" ref="L19" si="67">IF(L18&gt;=90,"A",IF(L18&gt;=80,"B",IF(L18&gt;=70,"C",IF(L18&gt;=60,"D","F"))))</f>
        <v>A</v>
      </c>
      <c r="M19" s="30" t="str">
        <f t="shared" ref="M19" si="68">IF(M18&gt;=90,"A",IF(M18&gt;=80,"B",IF(M18&gt;=70,"C",IF(M18&gt;=60,"D","F"))))</f>
        <v>B</v>
      </c>
      <c r="N19" s="30" t="str">
        <f t="shared" ref="N19" si="69">IF(N18&gt;=90,"A",IF(N18&gt;=80,"B",IF(N18&gt;=70,"C",IF(N18&gt;=60,"D","F"))))</f>
        <v>A</v>
      </c>
      <c r="O19" s="30" t="str">
        <f t="shared" ref="O19" si="70">IF(O18&gt;=90,"A",IF(O18&gt;=80,"B",IF(O18&gt;=70,"C",IF(O18&gt;=60,"D","F"))))</f>
        <v>A</v>
      </c>
      <c r="P19" s="58"/>
    </row>
    <row r="20" spans="1:16" s="5" customFormat="1" ht="13.5" customHeight="1" x14ac:dyDescent="0.3">
      <c r="A20" s="14">
        <v>9</v>
      </c>
      <c r="B20" s="17" t="s">
        <v>150</v>
      </c>
      <c r="C20" s="2" t="s">
        <v>520</v>
      </c>
      <c r="D20" s="22" t="s">
        <v>375</v>
      </c>
      <c r="E20" s="18">
        <v>74</v>
      </c>
      <c r="F20" s="60">
        <v>0</v>
      </c>
      <c r="G20" s="18">
        <v>72</v>
      </c>
      <c r="H20" s="18">
        <v>82</v>
      </c>
      <c r="I20" s="18">
        <v>80</v>
      </c>
      <c r="J20" s="18">
        <v>90</v>
      </c>
      <c r="K20" s="18">
        <v>100</v>
      </c>
      <c r="L20" s="18">
        <v>100</v>
      </c>
      <c r="M20" s="18">
        <v>93</v>
      </c>
      <c r="N20" s="18">
        <v>99</v>
      </c>
      <c r="O20" s="30">
        <v>100</v>
      </c>
      <c r="P20" s="58">
        <f t="shared" si="1"/>
        <v>80.909090909090907</v>
      </c>
    </row>
    <row r="21" spans="1:16" s="5" customFormat="1" ht="13.5" customHeight="1" x14ac:dyDescent="0.3">
      <c r="A21" s="14"/>
      <c r="B21" s="17"/>
      <c r="C21" s="2"/>
      <c r="D21" s="22"/>
      <c r="E21" s="30" t="str">
        <f>IF(E20&gt;=90,"A",IF(E20&gt;=80,"B",IF(E20&gt;=70,"C",IF(E20&gt;=60,"D","F"))))</f>
        <v>C</v>
      </c>
      <c r="F21" s="60" t="s">
        <v>429</v>
      </c>
      <c r="G21" s="30" t="str">
        <f>IF(G20&gt;=90,"A",IF(G20&gt;=80,"B",IF(G20&gt;=70,"C",IF(G20&gt;=60,"D","F"))))</f>
        <v>C</v>
      </c>
      <c r="H21" s="30" t="str">
        <f t="shared" ref="H21:O21" si="71">IF(H20&gt;=90,"A",IF(H20&gt;=80,"B",IF(H20&gt;=70,"C",IF(H20&gt;=60,"D","F"))))</f>
        <v>B</v>
      </c>
      <c r="I21" s="30" t="str">
        <f t="shared" si="71"/>
        <v>B</v>
      </c>
      <c r="J21" s="30" t="str">
        <f t="shared" si="71"/>
        <v>A</v>
      </c>
      <c r="K21" s="30" t="str">
        <f t="shared" si="71"/>
        <v>A</v>
      </c>
      <c r="L21" s="30" t="str">
        <f t="shared" si="71"/>
        <v>A</v>
      </c>
      <c r="M21" s="30" t="str">
        <f t="shared" si="71"/>
        <v>A</v>
      </c>
      <c r="N21" s="30" t="str">
        <f t="shared" si="71"/>
        <v>A</v>
      </c>
      <c r="O21" s="30" t="str">
        <f t="shared" si="71"/>
        <v>A</v>
      </c>
      <c r="P21" s="58"/>
    </row>
    <row r="22" spans="1:16" s="5" customFormat="1" ht="13.5" customHeight="1" x14ac:dyDescent="0.3">
      <c r="A22" s="14">
        <v>10</v>
      </c>
      <c r="B22" s="17" t="s">
        <v>55</v>
      </c>
      <c r="C22" s="2" t="s">
        <v>521</v>
      </c>
      <c r="D22" s="22" t="s">
        <v>376</v>
      </c>
      <c r="E22" s="15">
        <v>86</v>
      </c>
      <c r="F22" s="15">
        <v>78</v>
      </c>
      <c r="G22" s="18">
        <v>81</v>
      </c>
      <c r="H22" s="18">
        <v>93</v>
      </c>
      <c r="I22" s="18">
        <v>93</v>
      </c>
      <c r="J22" s="18">
        <v>87</v>
      </c>
      <c r="K22" s="18">
        <v>99</v>
      </c>
      <c r="L22" s="18">
        <v>100</v>
      </c>
      <c r="M22" s="18">
        <v>98</v>
      </c>
      <c r="N22" s="18">
        <v>100</v>
      </c>
      <c r="O22" s="30">
        <v>98</v>
      </c>
      <c r="P22" s="58">
        <f t="shared" si="1"/>
        <v>92.090909090909093</v>
      </c>
    </row>
    <row r="23" spans="1:16" s="5" customFormat="1" ht="13.5" customHeight="1" x14ac:dyDescent="0.3">
      <c r="A23" s="14"/>
      <c r="B23" s="17"/>
      <c r="C23" s="2"/>
      <c r="D23" s="22"/>
      <c r="E23" s="30" t="str">
        <f>IF(E22&gt;=90,"A",IF(E22&gt;=80,"B",IF(E22&gt;=70,"C",IF(E22&gt;=60,"D","F"))))</f>
        <v>B</v>
      </c>
      <c r="F23" s="30" t="str">
        <f t="shared" ref="F23" si="72">IF(F22&gt;=90,"A",IF(F22&gt;=80,"B",IF(F22&gt;=70,"C",IF(F22&gt;=60,"D","F"))))</f>
        <v>C</v>
      </c>
      <c r="G23" s="30" t="str">
        <f t="shared" ref="G23" si="73">IF(G22&gt;=90,"A",IF(G22&gt;=80,"B",IF(G22&gt;=70,"C",IF(G22&gt;=60,"D","F"))))</f>
        <v>B</v>
      </c>
      <c r="H23" s="30" t="str">
        <f t="shared" ref="H23" si="74">IF(H22&gt;=90,"A",IF(H22&gt;=80,"B",IF(H22&gt;=70,"C",IF(H22&gt;=60,"D","F"))))</f>
        <v>A</v>
      </c>
      <c r="I23" s="30" t="str">
        <f t="shared" ref="I23" si="75">IF(I22&gt;=90,"A",IF(I22&gt;=80,"B",IF(I22&gt;=70,"C",IF(I22&gt;=60,"D","F"))))</f>
        <v>A</v>
      </c>
      <c r="J23" s="30" t="str">
        <f t="shared" ref="J23" si="76">IF(J22&gt;=90,"A",IF(J22&gt;=80,"B",IF(J22&gt;=70,"C",IF(J22&gt;=60,"D","F"))))</f>
        <v>B</v>
      </c>
      <c r="K23" s="30" t="str">
        <f t="shared" ref="K23" si="77">IF(K22&gt;=90,"A",IF(K22&gt;=80,"B",IF(K22&gt;=70,"C",IF(K22&gt;=60,"D","F"))))</f>
        <v>A</v>
      </c>
      <c r="L23" s="30" t="str">
        <f t="shared" ref="L23" si="78">IF(L22&gt;=90,"A",IF(L22&gt;=80,"B",IF(L22&gt;=70,"C",IF(L22&gt;=60,"D","F"))))</f>
        <v>A</v>
      </c>
      <c r="M23" s="30" t="str">
        <f t="shared" ref="M23" si="79">IF(M22&gt;=90,"A",IF(M22&gt;=80,"B",IF(M22&gt;=70,"C",IF(M22&gt;=60,"D","F"))))</f>
        <v>A</v>
      </c>
      <c r="N23" s="30" t="str">
        <f t="shared" ref="N23" si="80">IF(N22&gt;=90,"A",IF(N22&gt;=80,"B",IF(N22&gt;=70,"C",IF(N22&gt;=60,"D","F"))))</f>
        <v>A</v>
      </c>
      <c r="O23" s="30" t="str">
        <f t="shared" ref="O23" si="81">IF(O22&gt;=90,"A",IF(O22&gt;=80,"B",IF(O22&gt;=70,"C",IF(O22&gt;=60,"D","F"))))</f>
        <v>A</v>
      </c>
      <c r="P23" s="58"/>
    </row>
    <row r="24" spans="1:16" s="5" customFormat="1" ht="13.5" customHeight="1" x14ac:dyDescent="0.3">
      <c r="A24" s="14">
        <v>11</v>
      </c>
      <c r="B24" s="17" t="s">
        <v>151</v>
      </c>
      <c r="C24" s="2" t="s">
        <v>522</v>
      </c>
      <c r="D24" s="22" t="s">
        <v>376</v>
      </c>
      <c r="E24" s="18">
        <v>99</v>
      </c>
      <c r="F24" s="18">
        <v>98</v>
      </c>
      <c r="G24" s="30">
        <v>96</v>
      </c>
      <c r="H24" s="30">
        <v>99</v>
      </c>
      <c r="I24" s="30">
        <v>97</v>
      </c>
      <c r="J24" s="30">
        <v>98</v>
      </c>
      <c r="K24" s="30">
        <v>100</v>
      </c>
      <c r="L24" s="30">
        <v>100</v>
      </c>
      <c r="M24" s="30">
        <v>100</v>
      </c>
      <c r="N24" s="30">
        <v>100</v>
      </c>
      <c r="O24" s="30">
        <v>100</v>
      </c>
      <c r="P24" s="58">
        <f t="shared" si="1"/>
        <v>98.818181818181813</v>
      </c>
    </row>
    <row r="25" spans="1:16" s="5" customFormat="1" ht="13.5" customHeight="1" x14ac:dyDescent="0.3">
      <c r="A25" s="14"/>
      <c r="B25" s="17"/>
      <c r="C25" s="2"/>
      <c r="D25" s="22"/>
      <c r="E25" s="30" t="str">
        <f>IF(E24&gt;=90,"A",IF(E24&gt;=80,"B",IF(E24&gt;=70,"C",IF(E24&gt;=60,"D","F"))))</f>
        <v>A</v>
      </c>
      <c r="F25" s="30" t="str">
        <f t="shared" ref="F25" si="82">IF(F24&gt;=90,"A",IF(F24&gt;=80,"B",IF(F24&gt;=70,"C",IF(F24&gt;=60,"D","F"))))</f>
        <v>A</v>
      </c>
      <c r="G25" s="30" t="str">
        <f t="shared" ref="G25" si="83">IF(G24&gt;=90,"A",IF(G24&gt;=80,"B",IF(G24&gt;=70,"C",IF(G24&gt;=60,"D","F"))))</f>
        <v>A</v>
      </c>
      <c r="H25" s="30" t="str">
        <f t="shared" ref="H25" si="84">IF(H24&gt;=90,"A",IF(H24&gt;=80,"B",IF(H24&gt;=70,"C",IF(H24&gt;=60,"D","F"))))</f>
        <v>A</v>
      </c>
      <c r="I25" s="30" t="str">
        <f t="shared" ref="I25" si="85">IF(I24&gt;=90,"A",IF(I24&gt;=80,"B",IF(I24&gt;=70,"C",IF(I24&gt;=60,"D","F"))))</f>
        <v>A</v>
      </c>
      <c r="J25" s="30" t="str">
        <f t="shared" ref="J25" si="86">IF(J24&gt;=90,"A",IF(J24&gt;=80,"B",IF(J24&gt;=70,"C",IF(J24&gt;=60,"D","F"))))</f>
        <v>A</v>
      </c>
      <c r="K25" s="30" t="str">
        <f t="shared" ref="K25" si="87">IF(K24&gt;=90,"A",IF(K24&gt;=80,"B",IF(K24&gt;=70,"C",IF(K24&gt;=60,"D","F"))))</f>
        <v>A</v>
      </c>
      <c r="L25" s="30" t="str">
        <f t="shared" ref="L25" si="88">IF(L24&gt;=90,"A",IF(L24&gt;=80,"B",IF(L24&gt;=70,"C",IF(L24&gt;=60,"D","F"))))</f>
        <v>A</v>
      </c>
      <c r="M25" s="30" t="str">
        <f t="shared" ref="M25" si="89">IF(M24&gt;=90,"A",IF(M24&gt;=80,"B",IF(M24&gt;=70,"C",IF(M24&gt;=60,"D","F"))))</f>
        <v>A</v>
      </c>
      <c r="N25" s="30" t="str">
        <f t="shared" ref="N25" si="90">IF(N24&gt;=90,"A",IF(N24&gt;=80,"B",IF(N24&gt;=70,"C",IF(N24&gt;=60,"D","F"))))</f>
        <v>A</v>
      </c>
      <c r="O25" s="30" t="str">
        <f t="shared" ref="O25" si="91">IF(O24&gt;=90,"A",IF(O24&gt;=80,"B",IF(O24&gt;=70,"C",IF(O24&gt;=60,"D","F"))))</f>
        <v>A</v>
      </c>
      <c r="P25" s="58"/>
    </row>
    <row r="26" spans="1:16" s="5" customFormat="1" ht="13.5" customHeight="1" x14ac:dyDescent="0.3">
      <c r="A26" s="14">
        <v>12</v>
      </c>
      <c r="B26" s="17" t="s">
        <v>152</v>
      </c>
      <c r="C26" s="2" t="s">
        <v>523</v>
      </c>
      <c r="D26" s="22" t="s">
        <v>375</v>
      </c>
      <c r="E26" s="30">
        <v>67</v>
      </c>
      <c r="F26" s="30">
        <v>82</v>
      </c>
      <c r="G26" s="30">
        <v>70</v>
      </c>
      <c r="H26" s="30">
        <v>80</v>
      </c>
      <c r="I26" s="30">
        <v>83</v>
      </c>
      <c r="J26" s="30">
        <v>94</v>
      </c>
      <c r="K26" s="30">
        <v>100</v>
      </c>
      <c r="L26" s="30">
        <v>99</v>
      </c>
      <c r="M26" s="30">
        <v>90</v>
      </c>
      <c r="N26" s="30">
        <v>100</v>
      </c>
      <c r="O26" s="30">
        <v>99</v>
      </c>
      <c r="P26" s="58">
        <f t="shared" si="1"/>
        <v>87.63636363636364</v>
      </c>
    </row>
    <row r="27" spans="1:16" s="5" customFormat="1" ht="13.5" customHeight="1" x14ac:dyDescent="0.3">
      <c r="A27" s="14"/>
      <c r="B27" s="17"/>
      <c r="C27" s="2"/>
      <c r="D27" s="22"/>
      <c r="E27" s="30" t="str">
        <f>IF(E26&gt;=90,"A",IF(E26&gt;=80,"B",IF(E26&gt;=70,"C",IF(E26&gt;=60,"D","F"))))</f>
        <v>D</v>
      </c>
      <c r="F27" s="30" t="str">
        <f t="shared" ref="F27" si="92">IF(F26&gt;=90,"A",IF(F26&gt;=80,"B",IF(F26&gt;=70,"C",IF(F26&gt;=60,"D","F"))))</f>
        <v>B</v>
      </c>
      <c r="G27" s="30" t="str">
        <f t="shared" ref="G27" si="93">IF(G26&gt;=90,"A",IF(G26&gt;=80,"B",IF(G26&gt;=70,"C",IF(G26&gt;=60,"D","F"))))</f>
        <v>C</v>
      </c>
      <c r="H27" s="30" t="str">
        <f t="shared" ref="H27" si="94">IF(H26&gt;=90,"A",IF(H26&gt;=80,"B",IF(H26&gt;=70,"C",IF(H26&gt;=60,"D","F"))))</f>
        <v>B</v>
      </c>
      <c r="I27" s="30" t="str">
        <f t="shared" ref="I27" si="95">IF(I26&gt;=90,"A",IF(I26&gt;=80,"B",IF(I26&gt;=70,"C",IF(I26&gt;=60,"D","F"))))</f>
        <v>B</v>
      </c>
      <c r="J27" s="30" t="str">
        <f t="shared" ref="J27" si="96">IF(J26&gt;=90,"A",IF(J26&gt;=80,"B",IF(J26&gt;=70,"C",IF(J26&gt;=60,"D","F"))))</f>
        <v>A</v>
      </c>
      <c r="K27" s="30" t="str">
        <f t="shared" ref="K27" si="97">IF(K26&gt;=90,"A",IF(K26&gt;=80,"B",IF(K26&gt;=70,"C",IF(K26&gt;=60,"D","F"))))</f>
        <v>A</v>
      </c>
      <c r="L27" s="30" t="str">
        <f t="shared" ref="L27" si="98">IF(L26&gt;=90,"A",IF(L26&gt;=80,"B",IF(L26&gt;=70,"C",IF(L26&gt;=60,"D","F"))))</f>
        <v>A</v>
      </c>
      <c r="M27" s="30" t="str">
        <f t="shared" ref="M27" si="99">IF(M26&gt;=90,"A",IF(M26&gt;=80,"B",IF(M26&gt;=70,"C",IF(M26&gt;=60,"D","F"))))</f>
        <v>A</v>
      </c>
      <c r="N27" s="30" t="str">
        <f t="shared" ref="N27" si="100">IF(N26&gt;=90,"A",IF(N26&gt;=80,"B",IF(N26&gt;=70,"C",IF(N26&gt;=60,"D","F"))))</f>
        <v>A</v>
      </c>
      <c r="O27" s="30" t="str">
        <f t="shared" ref="O27" si="101">IF(O26&gt;=90,"A",IF(O26&gt;=80,"B",IF(O26&gt;=70,"C",IF(O26&gt;=60,"D","F"))))</f>
        <v>A</v>
      </c>
      <c r="P27" s="58"/>
    </row>
    <row r="28" spans="1:16" s="5" customFormat="1" ht="13.5" customHeight="1" x14ac:dyDescent="0.3">
      <c r="A28" s="14">
        <v>13</v>
      </c>
      <c r="B28" s="17" t="s">
        <v>153</v>
      </c>
      <c r="C28" s="2" t="s">
        <v>524</v>
      </c>
      <c r="D28" s="22" t="s">
        <v>375</v>
      </c>
      <c r="E28" s="18">
        <v>94</v>
      </c>
      <c r="F28" s="18">
        <v>90</v>
      </c>
      <c r="G28" s="18">
        <v>98</v>
      </c>
      <c r="H28" s="18">
        <v>99</v>
      </c>
      <c r="I28" s="18">
        <v>96</v>
      </c>
      <c r="J28" s="18">
        <v>95</v>
      </c>
      <c r="K28" s="18">
        <v>100</v>
      </c>
      <c r="L28" s="18">
        <v>97</v>
      </c>
      <c r="M28" s="18">
        <v>92</v>
      </c>
      <c r="N28" s="18">
        <v>100</v>
      </c>
      <c r="O28" s="30">
        <v>98</v>
      </c>
      <c r="P28" s="58">
        <f t="shared" si="1"/>
        <v>96.272727272727266</v>
      </c>
    </row>
    <row r="29" spans="1:16" s="5" customFormat="1" ht="13.5" customHeight="1" x14ac:dyDescent="0.3">
      <c r="A29" s="14"/>
      <c r="B29" s="17"/>
      <c r="C29" s="2"/>
      <c r="D29" s="22"/>
      <c r="E29" s="30" t="str">
        <f>IF(E28&gt;=90,"A",IF(E28&gt;=80,"B",IF(E28&gt;=70,"C",IF(E28&gt;=60,"D","F"))))</f>
        <v>A</v>
      </c>
      <c r="F29" s="30" t="str">
        <f t="shared" ref="F29" si="102">IF(F28&gt;=90,"A",IF(F28&gt;=80,"B",IF(F28&gt;=70,"C",IF(F28&gt;=60,"D","F"))))</f>
        <v>A</v>
      </c>
      <c r="G29" s="30" t="str">
        <f t="shared" ref="G29" si="103">IF(G28&gt;=90,"A",IF(G28&gt;=80,"B",IF(G28&gt;=70,"C",IF(G28&gt;=60,"D","F"))))</f>
        <v>A</v>
      </c>
      <c r="H29" s="30" t="str">
        <f t="shared" ref="H29" si="104">IF(H28&gt;=90,"A",IF(H28&gt;=80,"B",IF(H28&gt;=70,"C",IF(H28&gt;=60,"D","F"))))</f>
        <v>A</v>
      </c>
      <c r="I29" s="30" t="str">
        <f t="shared" ref="I29" si="105">IF(I28&gt;=90,"A",IF(I28&gt;=80,"B",IF(I28&gt;=70,"C",IF(I28&gt;=60,"D","F"))))</f>
        <v>A</v>
      </c>
      <c r="J29" s="30" t="str">
        <f t="shared" ref="J29" si="106">IF(J28&gt;=90,"A",IF(J28&gt;=80,"B",IF(J28&gt;=70,"C",IF(J28&gt;=60,"D","F"))))</f>
        <v>A</v>
      </c>
      <c r="K29" s="30" t="str">
        <f t="shared" ref="K29" si="107">IF(K28&gt;=90,"A",IF(K28&gt;=80,"B",IF(K28&gt;=70,"C",IF(K28&gt;=60,"D","F"))))</f>
        <v>A</v>
      </c>
      <c r="L29" s="30" t="str">
        <f t="shared" ref="L29" si="108">IF(L28&gt;=90,"A",IF(L28&gt;=80,"B",IF(L28&gt;=70,"C",IF(L28&gt;=60,"D","F"))))</f>
        <v>A</v>
      </c>
      <c r="M29" s="30" t="str">
        <f t="shared" ref="M29" si="109">IF(M28&gt;=90,"A",IF(M28&gt;=80,"B",IF(M28&gt;=70,"C",IF(M28&gt;=60,"D","F"))))</f>
        <v>A</v>
      </c>
      <c r="N29" s="30" t="str">
        <f t="shared" ref="N29" si="110">IF(N28&gt;=90,"A",IF(N28&gt;=80,"B",IF(N28&gt;=70,"C",IF(N28&gt;=60,"D","F"))))</f>
        <v>A</v>
      </c>
      <c r="O29" s="30" t="str">
        <f t="shared" ref="O29" si="111">IF(O28&gt;=90,"A",IF(O28&gt;=80,"B",IF(O28&gt;=70,"C",IF(O28&gt;=60,"D","F"))))</f>
        <v>A</v>
      </c>
      <c r="P29" s="58"/>
    </row>
    <row r="30" spans="1:16" s="5" customFormat="1" ht="13.5" customHeight="1" x14ac:dyDescent="0.3">
      <c r="A30" s="14">
        <v>14</v>
      </c>
      <c r="B30" s="17" t="s">
        <v>154</v>
      </c>
      <c r="C30" s="2" t="s">
        <v>525</v>
      </c>
      <c r="D30" s="22" t="s">
        <v>376</v>
      </c>
      <c r="E30" s="18">
        <v>74</v>
      </c>
      <c r="F30" s="18">
        <v>82</v>
      </c>
      <c r="G30" s="18">
        <v>83</v>
      </c>
      <c r="H30" s="18">
        <v>73</v>
      </c>
      <c r="I30" s="18">
        <v>64</v>
      </c>
      <c r="J30" s="18">
        <v>91</v>
      </c>
      <c r="K30" s="18">
        <v>98</v>
      </c>
      <c r="L30" s="18">
        <v>98</v>
      </c>
      <c r="M30" s="18">
        <v>92</v>
      </c>
      <c r="N30" s="18">
        <v>100</v>
      </c>
      <c r="O30" s="30">
        <v>100</v>
      </c>
      <c r="P30" s="58">
        <f t="shared" si="1"/>
        <v>86.818181818181813</v>
      </c>
    </row>
    <row r="31" spans="1:16" s="5" customFormat="1" ht="13.5" customHeight="1" x14ac:dyDescent="0.3">
      <c r="A31" s="14"/>
      <c r="B31" s="17"/>
      <c r="C31" s="2"/>
      <c r="D31" s="22"/>
      <c r="E31" s="30" t="str">
        <f>IF(E30&gt;=90,"A",IF(E30&gt;=80,"B",IF(E30&gt;=70,"C",IF(E30&gt;=60,"D","F"))))</f>
        <v>C</v>
      </c>
      <c r="F31" s="30" t="str">
        <f t="shared" ref="F31" si="112">IF(F30&gt;=90,"A",IF(F30&gt;=80,"B",IF(F30&gt;=70,"C",IF(F30&gt;=60,"D","F"))))</f>
        <v>B</v>
      </c>
      <c r="G31" s="30" t="str">
        <f t="shared" ref="G31" si="113">IF(G30&gt;=90,"A",IF(G30&gt;=80,"B",IF(G30&gt;=70,"C",IF(G30&gt;=60,"D","F"))))</f>
        <v>B</v>
      </c>
      <c r="H31" s="30" t="str">
        <f t="shared" ref="H31" si="114">IF(H30&gt;=90,"A",IF(H30&gt;=80,"B",IF(H30&gt;=70,"C",IF(H30&gt;=60,"D","F"))))</f>
        <v>C</v>
      </c>
      <c r="I31" s="30" t="str">
        <f t="shared" ref="I31" si="115">IF(I30&gt;=90,"A",IF(I30&gt;=80,"B",IF(I30&gt;=70,"C",IF(I30&gt;=60,"D","F"))))</f>
        <v>D</v>
      </c>
      <c r="J31" s="30" t="str">
        <f t="shared" ref="J31" si="116">IF(J30&gt;=90,"A",IF(J30&gt;=80,"B",IF(J30&gt;=70,"C",IF(J30&gt;=60,"D","F"))))</f>
        <v>A</v>
      </c>
      <c r="K31" s="30" t="str">
        <f t="shared" ref="K31" si="117">IF(K30&gt;=90,"A",IF(K30&gt;=80,"B",IF(K30&gt;=70,"C",IF(K30&gt;=60,"D","F"))))</f>
        <v>A</v>
      </c>
      <c r="L31" s="30" t="str">
        <f t="shared" ref="L31" si="118">IF(L30&gt;=90,"A",IF(L30&gt;=80,"B",IF(L30&gt;=70,"C",IF(L30&gt;=60,"D","F"))))</f>
        <v>A</v>
      </c>
      <c r="M31" s="30" t="str">
        <f t="shared" ref="M31" si="119">IF(M30&gt;=90,"A",IF(M30&gt;=80,"B",IF(M30&gt;=70,"C",IF(M30&gt;=60,"D","F"))))</f>
        <v>A</v>
      </c>
      <c r="N31" s="30" t="str">
        <f t="shared" ref="N31" si="120">IF(N30&gt;=90,"A",IF(N30&gt;=80,"B",IF(N30&gt;=70,"C",IF(N30&gt;=60,"D","F"))))</f>
        <v>A</v>
      </c>
      <c r="O31" s="30" t="str">
        <f t="shared" ref="O31" si="121">IF(O30&gt;=90,"A",IF(O30&gt;=80,"B",IF(O30&gt;=70,"C",IF(O30&gt;=60,"D","F"))))</f>
        <v>A</v>
      </c>
      <c r="P31" s="58"/>
    </row>
    <row r="32" spans="1:16" s="5" customFormat="1" ht="13.5" customHeight="1" x14ac:dyDescent="0.3">
      <c r="A32" s="14">
        <v>15</v>
      </c>
      <c r="B32" s="17" t="s">
        <v>418</v>
      </c>
      <c r="C32" s="2" t="s">
        <v>526</v>
      </c>
      <c r="D32" s="22" t="s">
        <v>376</v>
      </c>
      <c r="E32" s="30">
        <v>80</v>
      </c>
      <c r="F32" s="30">
        <v>90</v>
      </c>
      <c r="G32" s="30">
        <v>81</v>
      </c>
      <c r="H32" s="30">
        <v>86</v>
      </c>
      <c r="I32" s="30">
        <v>90</v>
      </c>
      <c r="J32" s="30">
        <v>100</v>
      </c>
      <c r="K32" s="30">
        <v>100</v>
      </c>
      <c r="L32" s="30">
        <v>98</v>
      </c>
      <c r="M32" s="30">
        <v>94</v>
      </c>
      <c r="N32" s="30">
        <v>100</v>
      </c>
      <c r="O32" s="30">
        <v>96</v>
      </c>
      <c r="P32" s="58">
        <f t="shared" si="1"/>
        <v>92.272727272727266</v>
      </c>
    </row>
    <row r="33" spans="1:16" s="5" customFormat="1" ht="13.5" customHeight="1" x14ac:dyDescent="0.3">
      <c r="A33" s="14"/>
      <c r="B33" s="17"/>
      <c r="C33" s="2"/>
      <c r="D33" s="22"/>
      <c r="E33" s="30" t="str">
        <f>IF(E32&gt;=90,"A",IF(E32&gt;=80,"B",IF(E32&gt;=70,"C",IF(E32&gt;=60,"D","F"))))</f>
        <v>B</v>
      </c>
      <c r="F33" s="30" t="str">
        <f t="shared" ref="F33" si="122">IF(F32&gt;=90,"A",IF(F32&gt;=80,"B",IF(F32&gt;=70,"C",IF(F32&gt;=60,"D","F"))))</f>
        <v>A</v>
      </c>
      <c r="G33" s="30" t="str">
        <f t="shared" ref="G33" si="123">IF(G32&gt;=90,"A",IF(G32&gt;=80,"B",IF(G32&gt;=70,"C",IF(G32&gt;=60,"D","F"))))</f>
        <v>B</v>
      </c>
      <c r="H33" s="30" t="str">
        <f t="shared" ref="H33" si="124">IF(H32&gt;=90,"A",IF(H32&gt;=80,"B",IF(H32&gt;=70,"C",IF(H32&gt;=60,"D","F"))))</f>
        <v>B</v>
      </c>
      <c r="I33" s="30" t="str">
        <f t="shared" ref="I33" si="125">IF(I32&gt;=90,"A",IF(I32&gt;=80,"B",IF(I32&gt;=70,"C",IF(I32&gt;=60,"D","F"))))</f>
        <v>A</v>
      </c>
      <c r="J33" s="30" t="str">
        <f t="shared" ref="J33" si="126">IF(J32&gt;=90,"A",IF(J32&gt;=80,"B",IF(J32&gt;=70,"C",IF(J32&gt;=60,"D","F"))))</f>
        <v>A</v>
      </c>
      <c r="K33" s="30" t="str">
        <f t="shared" ref="K33" si="127">IF(K32&gt;=90,"A",IF(K32&gt;=80,"B",IF(K32&gt;=70,"C",IF(K32&gt;=60,"D","F"))))</f>
        <v>A</v>
      </c>
      <c r="L33" s="30" t="str">
        <f t="shared" ref="L33" si="128">IF(L32&gt;=90,"A",IF(L32&gt;=80,"B",IF(L32&gt;=70,"C",IF(L32&gt;=60,"D","F"))))</f>
        <v>A</v>
      </c>
      <c r="M33" s="30" t="str">
        <f t="shared" ref="M33" si="129">IF(M32&gt;=90,"A",IF(M32&gt;=80,"B",IF(M32&gt;=70,"C",IF(M32&gt;=60,"D","F"))))</f>
        <v>A</v>
      </c>
      <c r="N33" s="30" t="str">
        <f t="shared" ref="N33" si="130">IF(N32&gt;=90,"A",IF(N32&gt;=80,"B",IF(N32&gt;=70,"C",IF(N32&gt;=60,"D","F"))))</f>
        <v>A</v>
      </c>
      <c r="O33" s="30" t="str">
        <f t="shared" ref="O33" si="131">IF(O32&gt;=90,"A",IF(O32&gt;=80,"B",IF(O32&gt;=70,"C",IF(O32&gt;=60,"D","F"))))</f>
        <v>A</v>
      </c>
      <c r="P33" s="58"/>
    </row>
    <row r="34" spans="1:16" s="5" customFormat="1" ht="13.5" customHeight="1" x14ac:dyDescent="0.3">
      <c r="A34" s="14">
        <v>16</v>
      </c>
      <c r="B34" s="17" t="s">
        <v>12</v>
      </c>
      <c r="C34" s="2" t="s">
        <v>527</v>
      </c>
      <c r="D34" s="22" t="s">
        <v>376</v>
      </c>
      <c r="E34" s="30">
        <v>82</v>
      </c>
      <c r="F34" s="30">
        <v>93</v>
      </c>
      <c r="G34" s="30">
        <v>80</v>
      </c>
      <c r="H34" s="30">
        <v>86</v>
      </c>
      <c r="I34" s="30">
        <v>93</v>
      </c>
      <c r="J34" s="30">
        <v>91</v>
      </c>
      <c r="K34" s="30">
        <v>100</v>
      </c>
      <c r="L34" s="30">
        <v>100</v>
      </c>
      <c r="M34" s="30">
        <v>93</v>
      </c>
      <c r="N34" s="30">
        <v>100</v>
      </c>
      <c r="O34" s="30">
        <v>99</v>
      </c>
      <c r="P34" s="58">
        <f t="shared" si="1"/>
        <v>92.454545454545453</v>
      </c>
    </row>
    <row r="35" spans="1:16" s="5" customFormat="1" ht="13.5" customHeight="1" x14ac:dyDescent="0.3">
      <c r="A35" s="14"/>
      <c r="B35" s="17"/>
      <c r="C35" s="2"/>
      <c r="D35" s="22"/>
      <c r="E35" s="30" t="str">
        <f>IF(E34&gt;=90,"A",IF(E34&gt;=80,"B",IF(E34&gt;=70,"C",IF(E34&gt;=60,"D","F"))))</f>
        <v>B</v>
      </c>
      <c r="F35" s="30" t="str">
        <f t="shared" ref="F35" si="132">IF(F34&gt;=90,"A",IF(F34&gt;=80,"B",IF(F34&gt;=70,"C",IF(F34&gt;=60,"D","F"))))</f>
        <v>A</v>
      </c>
      <c r="G35" s="30" t="str">
        <f t="shared" ref="G35" si="133">IF(G34&gt;=90,"A",IF(G34&gt;=80,"B",IF(G34&gt;=70,"C",IF(G34&gt;=60,"D","F"))))</f>
        <v>B</v>
      </c>
      <c r="H35" s="30" t="str">
        <f t="shared" ref="H35" si="134">IF(H34&gt;=90,"A",IF(H34&gt;=80,"B",IF(H34&gt;=70,"C",IF(H34&gt;=60,"D","F"))))</f>
        <v>B</v>
      </c>
      <c r="I35" s="30" t="str">
        <f t="shared" ref="I35" si="135">IF(I34&gt;=90,"A",IF(I34&gt;=80,"B",IF(I34&gt;=70,"C",IF(I34&gt;=60,"D","F"))))</f>
        <v>A</v>
      </c>
      <c r="J35" s="30" t="str">
        <f t="shared" ref="J35" si="136">IF(J34&gt;=90,"A",IF(J34&gt;=80,"B",IF(J34&gt;=70,"C",IF(J34&gt;=60,"D","F"))))</f>
        <v>A</v>
      </c>
      <c r="K35" s="30" t="str">
        <f t="shared" ref="K35" si="137">IF(K34&gt;=90,"A",IF(K34&gt;=80,"B",IF(K34&gt;=70,"C",IF(K34&gt;=60,"D","F"))))</f>
        <v>A</v>
      </c>
      <c r="L35" s="30" t="str">
        <f t="shared" ref="L35" si="138">IF(L34&gt;=90,"A",IF(L34&gt;=80,"B",IF(L34&gt;=70,"C",IF(L34&gt;=60,"D","F"))))</f>
        <v>A</v>
      </c>
      <c r="M35" s="30" t="str">
        <f t="shared" ref="M35" si="139">IF(M34&gt;=90,"A",IF(M34&gt;=80,"B",IF(M34&gt;=70,"C",IF(M34&gt;=60,"D","F"))))</f>
        <v>A</v>
      </c>
      <c r="N35" s="30" t="str">
        <f t="shared" ref="N35" si="140">IF(N34&gt;=90,"A",IF(N34&gt;=80,"B",IF(N34&gt;=70,"C",IF(N34&gt;=60,"D","F"))))</f>
        <v>A</v>
      </c>
      <c r="O35" s="30" t="str">
        <f t="shared" ref="O35" si="141">IF(O34&gt;=90,"A",IF(O34&gt;=80,"B",IF(O34&gt;=70,"C",IF(O34&gt;=60,"D","F"))))</f>
        <v>A</v>
      </c>
      <c r="P35" s="58"/>
    </row>
    <row r="36" spans="1:16" s="5" customFormat="1" ht="13.5" customHeight="1" x14ac:dyDescent="0.3">
      <c r="A36" s="14">
        <v>17</v>
      </c>
      <c r="B36" s="17" t="s">
        <v>155</v>
      </c>
      <c r="C36" s="2" t="s">
        <v>528</v>
      </c>
      <c r="D36" s="22" t="s">
        <v>375</v>
      </c>
      <c r="E36" s="18">
        <v>51</v>
      </c>
      <c r="F36" s="18">
        <v>62</v>
      </c>
      <c r="G36" s="18">
        <v>62</v>
      </c>
      <c r="H36" s="18">
        <v>50</v>
      </c>
      <c r="I36" s="18">
        <v>60</v>
      </c>
      <c r="J36" s="18">
        <v>76</v>
      </c>
      <c r="K36" s="18">
        <v>100</v>
      </c>
      <c r="L36" s="18">
        <v>97</v>
      </c>
      <c r="M36" s="18">
        <v>100</v>
      </c>
      <c r="N36" s="18">
        <v>100</v>
      </c>
      <c r="O36" s="30">
        <v>100</v>
      </c>
      <c r="P36" s="58">
        <f t="shared" si="1"/>
        <v>78</v>
      </c>
    </row>
    <row r="37" spans="1:16" s="5" customFormat="1" ht="13.5" customHeight="1" x14ac:dyDescent="0.3">
      <c r="A37" s="14"/>
      <c r="B37" s="17"/>
      <c r="C37" s="2"/>
      <c r="D37" s="22"/>
      <c r="E37" s="30" t="str">
        <f>IF(E36&gt;=90,"A",IF(E36&gt;=80,"B",IF(E36&gt;=70,"C",IF(E36&gt;=60,"D","F"))))</f>
        <v>F</v>
      </c>
      <c r="F37" s="30" t="str">
        <f t="shared" ref="F37" si="142">IF(F36&gt;=90,"A",IF(F36&gt;=80,"B",IF(F36&gt;=70,"C",IF(F36&gt;=60,"D","F"))))</f>
        <v>D</v>
      </c>
      <c r="G37" s="30" t="str">
        <f t="shared" ref="G37" si="143">IF(G36&gt;=90,"A",IF(G36&gt;=80,"B",IF(G36&gt;=70,"C",IF(G36&gt;=60,"D","F"))))</f>
        <v>D</v>
      </c>
      <c r="H37" s="30" t="str">
        <f t="shared" ref="H37" si="144">IF(H36&gt;=90,"A",IF(H36&gt;=80,"B",IF(H36&gt;=70,"C",IF(H36&gt;=60,"D","F"))))</f>
        <v>F</v>
      </c>
      <c r="I37" s="30" t="str">
        <f t="shared" ref="I37" si="145">IF(I36&gt;=90,"A",IF(I36&gt;=80,"B",IF(I36&gt;=70,"C",IF(I36&gt;=60,"D","F"))))</f>
        <v>D</v>
      </c>
      <c r="J37" s="30" t="str">
        <f t="shared" ref="J37" si="146">IF(J36&gt;=90,"A",IF(J36&gt;=80,"B",IF(J36&gt;=70,"C",IF(J36&gt;=60,"D","F"))))</f>
        <v>C</v>
      </c>
      <c r="K37" s="30" t="str">
        <f t="shared" ref="K37" si="147">IF(K36&gt;=90,"A",IF(K36&gt;=80,"B",IF(K36&gt;=70,"C",IF(K36&gt;=60,"D","F"))))</f>
        <v>A</v>
      </c>
      <c r="L37" s="30" t="str">
        <f t="shared" ref="L37" si="148">IF(L36&gt;=90,"A",IF(L36&gt;=80,"B",IF(L36&gt;=70,"C",IF(L36&gt;=60,"D","F"))))</f>
        <v>A</v>
      </c>
      <c r="M37" s="30" t="str">
        <f t="shared" ref="M37" si="149">IF(M36&gt;=90,"A",IF(M36&gt;=80,"B",IF(M36&gt;=70,"C",IF(M36&gt;=60,"D","F"))))</f>
        <v>A</v>
      </c>
      <c r="N37" s="30" t="str">
        <f t="shared" ref="N37" si="150">IF(N36&gt;=90,"A",IF(N36&gt;=80,"B",IF(N36&gt;=70,"C",IF(N36&gt;=60,"D","F"))))</f>
        <v>A</v>
      </c>
      <c r="O37" s="30" t="str">
        <f t="shared" ref="O37" si="151">IF(O36&gt;=90,"A",IF(O36&gt;=80,"B",IF(O36&gt;=70,"C",IF(O36&gt;=60,"D","F"))))</f>
        <v>A</v>
      </c>
      <c r="P37" s="58"/>
    </row>
    <row r="38" spans="1:16" s="5" customFormat="1" ht="13.5" customHeight="1" x14ac:dyDescent="0.3">
      <c r="A38" s="14">
        <v>18</v>
      </c>
      <c r="B38" s="17" t="s">
        <v>156</v>
      </c>
      <c r="C38" s="2" t="s">
        <v>530</v>
      </c>
      <c r="D38" s="22" t="s">
        <v>375</v>
      </c>
      <c r="E38" s="18">
        <v>76</v>
      </c>
      <c r="F38" s="18">
        <v>80</v>
      </c>
      <c r="G38" s="18">
        <v>72</v>
      </c>
      <c r="H38" s="18">
        <v>73</v>
      </c>
      <c r="I38" s="18">
        <v>83</v>
      </c>
      <c r="J38" s="18">
        <v>81</v>
      </c>
      <c r="K38" s="18">
        <v>96</v>
      </c>
      <c r="L38" s="18">
        <v>96</v>
      </c>
      <c r="M38" s="18">
        <v>90</v>
      </c>
      <c r="N38" s="18">
        <v>99</v>
      </c>
      <c r="O38" s="30">
        <v>98</v>
      </c>
      <c r="P38" s="58">
        <f t="shared" si="1"/>
        <v>85.818181818181813</v>
      </c>
    </row>
    <row r="39" spans="1:16" s="5" customFormat="1" ht="13.5" customHeight="1" x14ac:dyDescent="0.3">
      <c r="A39" s="14"/>
      <c r="B39" s="17"/>
      <c r="D39" s="22"/>
      <c r="E39" s="30" t="str">
        <f>IF(E38&gt;=90,"A",IF(E38&gt;=80,"B",IF(E38&gt;=70,"C",IF(E38&gt;=60,"D","F"))))</f>
        <v>C</v>
      </c>
      <c r="F39" s="30" t="str">
        <f t="shared" ref="F39" si="152">IF(F38&gt;=90,"A",IF(F38&gt;=80,"B",IF(F38&gt;=70,"C",IF(F38&gt;=60,"D","F"))))</f>
        <v>B</v>
      </c>
      <c r="G39" s="30" t="str">
        <f t="shared" ref="G39" si="153">IF(G38&gt;=90,"A",IF(G38&gt;=80,"B",IF(G38&gt;=70,"C",IF(G38&gt;=60,"D","F"))))</f>
        <v>C</v>
      </c>
      <c r="H39" s="30" t="str">
        <f t="shared" ref="H39" si="154">IF(H38&gt;=90,"A",IF(H38&gt;=80,"B",IF(H38&gt;=70,"C",IF(H38&gt;=60,"D","F"))))</f>
        <v>C</v>
      </c>
      <c r="I39" s="30" t="str">
        <f t="shared" ref="I39" si="155">IF(I38&gt;=90,"A",IF(I38&gt;=80,"B",IF(I38&gt;=70,"C",IF(I38&gt;=60,"D","F"))))</f>
        <v>B</v>
      </c>
      <c r="J39" s="30" t="str">
        <f t="shared" ref="J39" si="156">IF(J38&gt;=90,"A",IF(J38&gt;=80,"B",IF(J38&gt;=70,"C",IF(J38&gt;=60,"D","F"))))</f>
        <v>B</v>
      </c>
      <c r="K39" s="30" t="str">
        <f t="shared" ref="K39" si="157">IF(K38&gt;=90,"A",IF(K38&gt;=80,"B",IF(K38&gt;=70,"C",IF(K38&gt;=60,"D","F"))))</f>
        <v>A</v>
      </c>
      <c r="L39" s="30" t="str">
        <f t="shared" ref="L39" si="158">IF(L38&gt;=90,"A",IF(L38&gt;=80,"B",IF(L38&gt;=70,"C",IF(L38&gt;=60,"D","F"))))</f>
        <v>A</v>
      </c>
      <c r="M39" s="30" t="str">
        <f t="shared" ref="M39" si="159">IF(M38&gt;=90,"A",IF(M38&gt;=80,"B",IF(M38&gt;=70,"C",IF(M38&gt;=60,"D","F"))))</f>
        <v>A</v>
      </c>
      <c r="N39" s="30" t="str">
        <f t="shared" ref="N39" si="160">IF(N38&gt;=90,"A",IF(N38&gt;=80,"B",IF(N38&gt;=70,"C",IF(N38&gt;=60,"D","F"))))</f>
        <v>A</v>
      </c>
      <c r="O39" s="30" t="str">
        <f t="shared" ref="O39" si="161">IF(O38&gt;=90,"A",IF(O38&gt;=80,"B",IF(O38&gt;=70,"C",IF(O38&gt;=60,"D","F"))))</f>
        <v>A</v>
      </c>
      <c r="P39" s="58"/>
    </row>
    <row r="40" spans="1:16" s="5" customFormat="1" ht="13.5" customHeight="1" x14ac:dyDescent="0.3">
      <c r="A40" s="14">
        <v>19</v>
      </c>
      <c r="B40" s="17" t="s">
        <v>419</v>
      </c>
      <c r="C40" s="2" t="s">
        <v>529</v>
      </c>
      <c r="D40" s="22" t="s">
        <v>375</v>
      </c>
      <c r="E40" s="18">
        <v>78</v>
      </c>
      <c r="F40" s="18">
        <v>98</v>
      </c>
      <c r="G40" s="18">
        <v>80</v>
      </c>
      <c r="H40" s="18">
        <v>84</v>
      </c>
      <c r="I40" s="18">
        <v>94</v>
      </c>
      <c r="J40" s="18">
        <v>91</v>
      </c>
      <c r="K40" s="18">
        <v>100</v>
      </c>
      <c r="L40" s="18">
        <v>100</v>
      </c>
      <c r="M40" s="18">
        <v>94</v>
      </c>
      <c r="N40" s="18">
        <v>100</v>
      </c>
      <c r="O40" s="30">
        <v>100</v>
      </c>
      <c r="P40" s="58">
        <f t="shared" si="1"/>
        <v>92.63636363636364</v>
      </c>
    </row>
    <row r="41" spans="1:16" s="5" customFormat="1" ht="13.5" customHeight="1" x14ac:dyDescent="0.3">
      <c r="A41" s="14"/>
      <c r="B41" s="17"/>
      <c r="C41" s="2"/>
      <c r="D41" s="22"/>
      <c r="E41" s="30" t="str">
        <f>IF(E40&gt;=90,"A",IF(E40&gt;=80,"B",IF(E40&gt;=70,"C",IF(E40&gt;=60,"D","F"))))</f>
        <v>C</v>
      </c>
      <c r="F41" s="30" t="str">
        <f t="shared" ref="F41" si="162">IF(F40&gt;=90,"A",IF(F40&gt;=80,"B",IF(F40&gt;=70,"C",IF(F40&gt;=60,"D","F"))))</f>
        <v>A</v>
      </c>
      <c r="G41" s="30" t="str">
        <f t="shared" ref="G41" si="163">IF(G40&gt;=90,"A",IF(G40&gt;=80,"B",IF(G40&gt;=70,"C",IF(G40&gt;=60,"D","F"))))</f>
        <v>B</v>
      </c>
      <c r="H41" s="30" t="str">
        <f t="shared" ref="H41" si="164">IF(H40&gt;=90,"A",IF(H40&gt;=80,"B",IF(H40&gt;=70,"C",IF(H40&gt;=60,"D","F"))))</f>
        <v>B</v>
      </c>
      <c r="I41" s="30" t="str">
        <f t="shared" ref="I41" si="165">IF(I40&gt;=90,"A",IF(I40&gt;=80,"B",IF(I40&gt;=70,"C",IF(I40&gt;=60,"D","F"))))</f>
        <v>A</v>
      </c>
      <c r="J41" s="30" t="str">
        <f t="shared" ref="J41" si="166">IF(J40&gt;=90,"A",IF(J40&gt;=80,"B",IF(J40&gt;=70,"C",IF(J40&gt;=60,"D","F"))))</f>
        <v>A</v>
      </c>
      <c r="K41" s="30" t="str">
        <f t="shared" ref="K41" si="167">IF(K40&gt;=90,"A",IF(K40&gt;=80,"B",IF(K40&gt;=70,"C",IF(K40&gt;=60,"D","F"))))</f>
        <v>A</v>
      </c>
      <c r="L41" s="30" t="str">
        <f t="shared" ref="L41" si="168">IF(L40&gt;=90,"A",IF(L40&gt;=80,"B",IF(L40&gt;=70,"C",IF(L40&gt;=60,"D","F"))))</f>
        <v>A</v>
      </c>
      <c r="M41" s="30" t="str">
        <f t="shared" ref="M41" si="169">IF(M40&gt;=90,"A",IF(M40&gt;=80,"B",IF(M40&gt;=70,"C",IF(M40&gt;=60,"D","F"))))</f>
        <v>A</v>
      </c>
      <c r="N41" s="30" t="str">
        <f t="shared" ref="N41" si="170">IF(N40&gt;=90,"A",IF(N40&gt;=80,"B",IF(N40&gt;=70,"C",IF(N40&gt;=60,"D","F"))))</f>
        <v>A</v>
      </c>
      <c r="O41" s="30" t="str">
        <f t="shared" ref="O41" si="171">IF(O40&gt;=90,"A",IF(O40&gt;=80,"B",IF(O40&gt;=70,"C",IF(O40&gt;=60,"D","F"))))</f>
        <v>A</v>
      </c>
      <c r="P41" s="58"/>
    </row>
    <row r="42" spans="1:16" s="5" customFormat="1" ht="13.5" customHeight="1" x14ac:dyDescent="0.3">
      <c r="A42" s="14">
        <v>20</v>
      </c>
      <c r="B42" s="17" t="s">
        <v>157</v>
      </c>
      <c r="C42" s="2" t="s">
        <v>531</v>
      </c>
      <c r="D42" s="22" t="s">
        <v>375</v>
      </c>
      <c r="E42" s="18">
        <v>76</v>
      </c>
      <c r="F42" s="18">
        <v>80</v>
      </c>
      <c r="G42" s="18">
        <v>71</v>
      </c>
      <c r="H42" s="18">
        <v>78</v>
      </c>
      <c r="I42" s="18">
        <v>84</v>
      </c>
      <c r="J42" s="18">
        <v>84</v>
      </c>
      <c r="K42" s="18">
        <v>97</v>
      </c>
      <c r="L42" s="18">
        <v>95</v>
      </c>
      <c r="M42" s="18">
        <v>82</v>
      </c>
      <c r="N42" s="18">
        <v>99</v>
      </c>
      <c r="O42" s="30">
        <v>100</v>
      </c>
      <c r="P42" s="58">
        <f t="shared" si="1"/>
        <v>86</v>
      </c>
    </row>
    <row r="43" spans="1:16" s="5" customFormat="1" ht="13.5" customHeight="1" x14ac:dyDescent="0.3">
      <c r="A43" s="14"/>
      <c r="B43" s="17"/>
      <c r="C43" s="2"/>
      <c r="D43" s="22"/>
      <c r="E43" s="30" t="str">
        <f>IF(E42&gt;=90,"A",IF(E42&gt;=80,"B",IF(E42&gt;=70,"C",IF(E42&gt;=60,"D","F"))))</f>
        <v>C</v>
      </c>
      <c r="F43" s="30" t="str">
        <f t="shared" ref="F43" si="172">IF(F42&gt;=90,"A",IF(F42&gt;=80,"B",IF(F42&gt;=70,"C",IF(F42&gt;=60,"D","F"))))</f>
        <v>B</v>
      </c>
      <c r="G43" s="30" t="str">
        <f t="shared" ref="G43" si="173">IF(G42&gt;=90,"A",IF(G42&gt;=80,"B",IF(G42&gt;=70,"C",IF(G42&gt;=60,"D","F"))))</f>
        <v>C</v>
      </c>
      <c r="H43" s="30" t="str">
        <f t="shared" ref="H43" si="174">IF(H42&gt;=90,"A",IF(H42&gt;=80,"B",IF(H42&gt;=70,"C",IF(H42&gt;=60,"D","F"))))</f>
        <v>C</v>
      </c>
      <c r="I43" s="30" t="str">
        <f t="shared" ref="I43" si="175">IF(I42&gt;=90,"A",IF(I42&gt;=80,"B",IF(I42&gt;=70,"C",IF(I42&gt;=60,"D","F"))))</f>
        <v>B</v>
      </c>
      <c r="J43" s="30" t="str">
        <f t="shared" ref="J43" si="176">IF(J42&gt;=90,"A",IF(J42&gt;=80,"B",IF(J42&gt;=70,"C",IF(J42&gt;=60,"D","F"))))</f>
        <v>B</v>
      </c>
      <c r="K43" s="30" t="str">
        <f t="shared" ref="K43" si="177">IF(K42&gt;=90,"A",IF(K42&gt;=80,"B",IF(K42&gt;=70,"C",IF(K42&gt;=60,"D","F"))))</f>
        <v>A</v>
      </c>
      <c r="L43" s="30" t="str">
        <f t="shared" ref="L43" si="178">IF(L42&gt;=90,"A",IF(L42&gt;=80,"B",IF(L42&gt;=70,"C",IF(L42&gt;=60,"D","F"))))</f>
        <v>A</v>
      </c>
      <c r="M43" s="30" t="str">
        <f t="shared" ref="M43" si="179">IF(M42&gt;=90,"A",IF(M42&gt;=80,"B",IF(M42&gt;=70,"C",IF(M42&gt;=60,"D","F"))))</f>
        <v>B</v>
      </c>
      <c r="N43" s="30" t="str">
        <f t="shared" ref="N43" si="180">IF(N42&gt;=90,"A",IF(N42&gt;=80,"B",IF(N42&gt;=70,"C",IF(N42&gt;=60,"D","F"))))</f>
        <v>A</v>
      </c>
      <c r="O43" s="30" t="str">
        <f t="shared" ref="O43" si="181">IF(O42&gt;=90,"A",IF(O42&gt;=80,"B",IF(O42&gt;=70,"C",IF(O42&gt;=60,"D","F"))))</f>
        <v>A</v>
      </c>
      <c r="P43" s="58"/>
    </row>
    <row r="44" spans="1:16" s="5" customFormat="1" ht="13.5" customHeight="1" x14ac:dyDescent="0.3">
      <c r="A44" s="14">
        <v>21</v>
      </c>
      <c r="B44" s="17" t="s">
        <v>158</v>
      </c>
      <c r="C44" s="2" t="s">
        <v>532</v>
      </c>
      <c r="D44" s="22" t="s">
        <v>376</v>
      </c>
      <c r="E44" s="30">
        <v>88</v>
      </c>
      <c r="F44" s="30">
        <v>92</v>
      </c>
      <c r="G44" s="30">
        <v>88</v>
      </c>
      <c r="H44" s="30">
        <v>95</v>
      </c>
      <c r="I44" s="30">
        <v>92</v>
      </c>
      <c r="J44" s="30">
        <v>100</v>
      </c>
      <c r="K44" s="30">
        <v>100</v>
      </c>
      <c r="L44" s="30">
        <v>99</v>
      </c>
      <c r="M44" s="30">
        <v>99</v>
      </c>
      <c r="N44" s="30">
        <v>100</v>
      </c>
      <c r="O44" s="30">
        <v>99</v>
      </c>
      <c r="P44" s="58">
        <f t="shared" si="1"/>
        <v>95.63636363636364</v>
      </c>
    </row>
    <row r="45" spans="1:16" s="5" customFormat="1" ht="13.5" customHeight="1" x14ac:dyDescent="0.3">
      <c r="A45" s="14"/>
      <c r="B45" s="17"/>
      <c r="C45" s="2"/>
      <c r="D45" s="22"/>
      <c r="E45" s="30" t="str">
        <f>IF(E44&gt;=90,"A",IF(E44&gt;=80,"B",IF(E44&gt;=70,"C",IF(E44&gt;=60,"D","F"))))</f>
        <v>B</v>
      </c>
      <c r="F45" s="30" t="str">
        <f t="shared" ref="F45" si="182">IF(F44&gt;=90,"A",IF(F44&gt;=80,"B",IF(F44&gt;=70,"C",IF(F44&gt;=60,"D","F"))))</f>
        <v>A</v>
      </c>
      <c r="G45" s="30" t="str">
        <f t="shared" ref="G45" si="183">IF(G44&gt;=90,"A",IF(G44&gt;=80,"B",IF(G44&gt;=70,"C",IF(G44&gt;=60,"D","F"))))</f>
        <v>B</v>
      </c>
      <c r="H45" s="30" t="str">
        <f t="shared" ref="H45" si="184">IF(H44&gt;=90,"A",IF(H44&gt;=80,"B",IF(H44&gt;=70,"C",IF(H44&gt;=60,"D","F"))))</f>
        <v>A</v>
      </c>
      <c r="I45" s="30" t="str">
        <f t="shared" ref="I45" si="185">IF(I44&gt;=90,"A",IF(I44&gt;=80,"B",IF(I44&gt;=70,"C",IF(I44&gt;=60,"D","F"))))</f>
        <v>A</v>
      </c>
      <c r="J45" s="30" t="str">
        <f t="shared" ref="J45" si="186">IF(J44&gt;=90,"A",IF(J44&gt;=80,"B",IF(J44&gt;=70,"C",IF(J44&gt;=60,"D","F"))))</f>
        <v>A</v>
      </c>
      <c r="K45" s="30" t="str">
        <f t="shared" ref="K45" si="187">IF(K44&gt;=90,"A",IF(K44&gt;=80,"B",IF(K44&gt;=70,"C",IF(K44&gt;=60,"D","F"))))</f>
        <v>A</v>
      </c>
      <c r="L45" s="30" t="str">
        <f t="shared" ref="L45" si="188">IF(L44&gt;=90,"A",IF(L44&gt;=80,"B",IF(L44&gt;=70,"C",IF(L44&gt;=60,"D","F"))))</f>
        <v>A</v>
      </c>
      <c r="M45" s="30" t="str">
        <f t="shared" ref="M45" si="189">IF(M44&gt;=90,"A",IF(M44&gt;=80,"B",IF(M44&gt;=70,"C",IF(M44&gt;=60,"D","F"))))</f>
        <v>A</v>
      </c>
      <c r="N45" s="30" t="str">
        <f t="shared" ref="N45" si="190">IF(N44&gt;=90,"A",IF(N44&gt;=80,"B",IF(N44&gt;=70,"C",IF(N44&gt;=60,"D","F"))))</f>
        <v>A</v>
      </c>
      <c r="O45" s="30" t="str">
        <f t="shared" ref="O45" si="191">IF(O44&gt;=90,"A",IF(O44&gt;=80,"B",IF(O44&gt;=70,"C",IF(O44&gt;=60,"D","F"))))</f>
        <v>A</v>
      </c>
      <c r="P45" s="58"/>
    </row>
    <row r="46" spans="1:16" s="5" customFormat="1" ht="13.5" customHeight="1" x14ac:dyDescent="0.3">
      <c r="A46" s="14">
        <v>22</v>
      </c>
      <c r="B46" s="17" t="s">
        <v>159</v>
      </c>
      <c r="C46" s="2" t="s">
        <v>533</v>
      </c>
      <c r="D46" s="22" t="s">
        <v>376</v>
      </c>
      <c r="E46" s="30">
        <v>87</v>
      </c>
      <c r="F46" s="30">
        <v>95</v>
      </c>
      <c r="G46" s="30">
        <v>91</v>
      </c>
      <c r="H46" s="30">
        <v>90</v>
      </c>
      <c r="I46" s="30">
        <v>90</v>
      </c>
      <c r="J46" s="30">
        <v>93</v>
      </c>
      <c r="K46" s="30">
        <v>100</v>
      </c>
      <c r="L46" s="30">
        <v>98</v>
      </c>
      <c r="M46" s="30">
        <v>97</v>
      </c>
      <c r="N46" s="30">
        <v>99</v>
      </c>
      <c r="O46" s="30">
        <v>97</v>
      </c>
      <c r="P46" s="58">
        <f t="shared" si="1"/>
        <v>94.272727272727266</v>
      </c>
    </row>
    <row r="47" spans="1:16" s="5" customFormat="1" ht="13.5" customHeight="1" x14ac:dyDescent="0.3">
      <c r="A47" s="14"/>
      <c r="B47" s="17"/>
      <c r="C47" s="2"/>
      <c r="D47" s="22"/>
      <c r="E47" s="30" t="str">
        <f>IF(E46&gt;=90,"A",IF(E46&gt;=80,"B",IF(E46&gt;=70,"C",IF(E46&gt;=60,"D","F"))))</f>
        <v>B</v>
      </c>
      <c r="F47" s="30" t="str">
        <f t="shared" ref="F47" si="192">IF(F46&gt;=90,"A",IF(F46&gt;=80,"B",IF(F46&gt;=70,"C",IF(F46&gt;=60,"D","F"))))</f>
        <v>A</v>
      </c>
      <c r="G47" s="30" t="str">
        <f t="shared" ref="G47" si="193">IF(G46&gt;=90,"A",IF(G46&gt;=80,"B",IF(G46&gt;=70,"C",IF(G46&gt;=60,"D","F"))))</f>
        <v>A</v>
      </c>
      <c r="H47" s="30" t="str">
        <f t="shared" ref="H47" si="194">IF(H46&gt;=90,"A",IF(H46&gt;=80,"B",IF(H46&gt;=70,"C",IF(H46&gt;=60,"D","F"))))</f>
        <v>A</v>
      </c>
      <c r="I47" s="30" t="str">
        <f t="shared" ref="I47" si="195">IF(I46&gt;=90,"A",IF(I46&gt;=80,"B",IF(I46&gt;=70,"C",IF(I46&gt;=60,"D","F"))))</f>
        <v>A</v>
      </c>
      <c r="J47" s="30" t="str">
        <f t="shared" ref="J47" si="196">IF(J46&gt;=90,"A",IF(J46&gt;=80,"B",IF(J46&gt;=70,"C",IF(J46&gt;=60,"D","F"))))</f>
        <v>A</v>
      </c>
      <c r="K47" s="30" t="str">
        <f t="shared" ref="K47" si="197">IF(K46&gt;=90,"A",IF(K46&gt;=80,"B",IF(K46&gt;=70,"C",IF(K46&gt;=60,"D","F"))))</f>
        <v>A</v>
      </c>
      <c r="L47" s="30" t="str">
        <f t="shared" ref="L47" si="198">IF(L46&gt;=90,"A",IF(L46&gt;=80,"B",IF(L46&gt;=70,"C",IF(L46&gt;=60,"D","F"))))</f>
        <v>A</v>
      </c>
      <c r="M47" s="30" t="str">
        <f t="shared" ref="M47" si="199">IF(M46&gt;=90,"A",IF(M46&gt;=80,"B",IF(M46&gt;=70,"C",IF(M46&gt;=60,"D","F"))))</f>
        <v>A</v>
      </c>
      <c r="N47" s="30" t="str">
        <f t="shared" ref="N47" si="200">IF(N46&gt;=90,"A",IF(N46&gt;=80,"B",IF(N46&gt;=70,"C",IF(N46&gt;=60,"D","F"))))</f>
        <v>A</v>
      </c>
      <c r="O47" s="30" t="str">
        <f t="shared" ref="O47" si="201">IF(O46&gt;=90,"A",IF(O46&gt;=80,"B",IF(O46&gt;=70,"C",IF(O46&gt;=60,"D","F"))))</f>
        <v>A</v>
      </c>
      <c r="P47" s="58"/>
    </row>
    <row r="48" spans="1:16" s="5" customFormat="1" ht="13.5" customHeight="1" x14ac:dyDescent="0.3">
      <c r="A48" s="14">
        <v>23</v>
      </c>
      <c r="B48" s="17" t="s">
        <v>160</v>
      </c>
      <c r="C48" s="2" t="s">
        <v>534</v>
      </c>
      <c r="D48" s="22" t="s">
        <v>376</v>
      </c>
      <c r="E48" s="18">
        <v>91</v>
      </c>
      <c r="F48" s="61">
        <v>0</v>
      </c>
      <c r="G48" s="18">
        <v>95</v>
      </c>
      <c r="H48" s="18">
        <v>98</v>
      </c>
      <c r="I48" s="18">
        <v>99</v>
      </c>
      <c r="J48" s="18">
        <v>96</v>
      </c>
      <c r="K48" s="18">
        <v>100</v>
      </c>
      <c r="L48" s="18">
        <v>98</v>
      </c>
      <c r="M48" s="18">
        <v>94</v>
      </c>
      <c r="N48" s="18">
        <v>100</v>
      </c>
      <c r="O48" s="30">
        <v>96</v>
      </c>
      <c r="P48" s="58">
        <f t="shared" si="1"/>
        <v>87.909090909090907</v>
      </c>
    </row>
    <row r="49" spans="1:16" s="5" customFormat="1" ht="13.5" customHeight="1" x14ac:dyDescent="0.3">
      <c r="A49" s="14"/>
      <c r="B49" s="17"/>
      <c r="C49" s="2"/>
      <c r="D49" s="22"/>
      <c r="E49" s="30" t="str">
        <f>IF(E48&gt;=90,"A",IF(E48&gt;=80,"B",IF(E48&gt;=70,"C",IF(E48&gt;=60,"D","F"))))</f>
        <v>A</v>
      </c>
      <c r="F49" s="61" t="s">
        <v>429</v>
      </c>
      <c r="G49" s="30" t="str">
        <f t="shared" ref="G49" si="202">IF(G48&gt;=90,"A",IF(G48&gt;=80,"B",IF(G48&gt;=70,"C",IF(G48&gt;=60,"D","F"))))</f>
        <v>A</v>
      </c>
      <c r="H49" s="30" t="str">
        <f t="shared" ref="H49" si="203">IF(H48&gt;=90,"A",IF(H48&gt;=80,"B",IF(H48&gt;=70,"C",IF(H48&gt;=60,"D","F"))))</f>
        <v>A</v>
      </c>
      <c r="I49" s="30" t="str">
        <f t="shared" ref="I49" si="204">IF(I48&gt;=90,"A",IF(I48&gt;=80,"B",IF(I48&gt;=70,"C",IF(I48&gt;=60,"D","F"))))</f>
        <v>A</v>
      </c>
      <c r="J49" s="30" t="str">
        <f t="shared" ref="J49" si="205">IF(J48&gt;=90,"A",IF(J48&gt;=80,"B",IF(J48&gt;=70,"C",IF(J48&gt;=60,"D","F"))))</f>
        <v>A</v>
      </c>
      <c r="K49" s="30" t="str">
        <f t="shared" ref="K49" si="206">IF(K48&gt;=90,"A",IF(K48&gt;=80,"B",IF(K48&gt;=70,"C",IF(K48&gt;=60,"D","F"))))</f>
        <v>A</v>
      </c>
      <c r="L49" s="30" t="str">
        <f t="shared" ref="L49" si="207">IF(L48&gt;=90,"A",IF(L48&gt;=80,"B",IF(L48&gt;=70,"C",IF(L48&gt;=60,"D","F"))))</f>
        <v>A</v>
      </c>
      <c r="M49" s="30" t="str">
        <f t="shared" ref="M49" si="208">IF(M48&gt;=90,"A",IF(M48&gt;=80,"B",IF(M48&gt;=70,"C",IF(M48&gt;=60,"D","F"))))</f>
        <v>A</v>
      </c>
      <c r="N49" s="30" t="str">
        <f t="shared" ref="N49" si="209">IF(N48&gt;=90,"A",IF(N48&gt;=80,"B",IF(N48&gt;=70,"C",IF(N48&gt;=60,"D","F"))))</f>
        <v>A</v>
      </c>
      <c r="O49" s="30" t="str">
        <f t="shared" ref="O49" si="210">IF(O48&gt;=90,"A",IF(O48&gt;=80,"B",IF(O48&gt;=70,"C",IF(O48&gt;=60,"D","F"))))</f>
        <v>A</v>
      </c>
      <c r="P49" s="58"/>
    </row>
    <row r="50" spans="1:16" s="5" customFormat="1" ht="13.5" customHeight="1" x14ac:dyDescent="0.3">
      <c r="A50" s="14">
        <v>24</v>
      </c>
      <c r="B50" s="17" t="s">
        <v>161</v>
      </c>
      <c r="C50" s="2" t="s">
        <v>535</v>
      </c>
      <c r="D50" s="22" t="s">
        <v>376</v>
      </c>
      <c r="E50" s="18">
        <v>70</v>
      </c>
      <c r="F50" s="30">
        <v>92</v>
      </c>
      <c r="G50" s="18">
        <v>80</v>
      </c>
      <c r="H50" s="18">
        <v>80</v>
      </c>
      <c r="I50" s="18">
        <v>81</v>
      </c>
      <c r="J50" s="18">
        <v>85</v>
      </c>
      <c r="K50" s="15">
        <v>100</v>
      </c>
      <c r="L50" s="15">
        <v>98</v>
      </c>
      <c r="M50" s="15">
        <v>96</v>
      </c>
      <c r="N50" s="15">
        <v>100</v>
      </c>
      <c r="O50" s="30">
        <v>99</v>
      </c>
      <c r="P50" s="58">
        <f t="shared" si="1"/>
        <v>89.181818181818187</v>
      </c>
    </row>
    <row r="51" spans="1:16" s="5" customFormat="1" ht="13.5" customHeight="1" x14ac:dyDescent="0.3">
      <c r="A51" s="14"/>
      <c r="B51" s="17"/>
      <c r="C51" s="2"/>
      <c r="D51" s="22"/>
      <c r="E51" s="30" t="str">
        <f>IF(E50&gt;=90,"A",IF(E50&gt;=80,"B",IF(E50&gt;=70,"C",IF(E50&gt;=60,"D","F"))))</f>
        <v>C</v>
      </c>
      <c r="F51" s="30" t="str">
        <f t="shared" ref="F51" si="211">IF(F50&gt;=90,"A",IF(F50&gt;=80,"B",IF(F50&gt;=70,"C",IF(F50&gt;=60,"D","F"))))</f>
        <v>A</v>
      </c>
      <c r="G51" s="30" t="str">
        <f t="shared" ref="G51" si="212">IF(G50&gt;=90,"A",IF(G50&gt;=80,"B",IF(G50&gt;=70,"C",IF(G50&gt;=60,"D","F"))))</f>
        <v>B</v>
      </c>
      <c r="H51" s="30" t="str">
        <f t="shared" ref="H51" si="213">IF(H50&gt;=90,"A",IF(H50&gt;=80,"B",IF(H50&gt;=70,"C",IF(H50&gt;=60,"D","F"))))</f>
        <v>B</v>
      </c>
      <c r="I51" s="30" t="str">
        <f t="shared" ref="I51" si="214">IF(I50&gt;=90,"A",IF(I50&gt;=80,"B",IF(I50&gt;=70,"C",IF(I50&gt;=60,"D","F"))))</f>
        <v>B</v>
      </c>
      <c r="J51" s="30" t="str">
        <f t="shared" ref="J51" si="215">IF(J50&gt;=90,"A",IF(J50&gt;=80,"B",IF(J50&gt;=70,"C",IF(J50&gt;=60,"D","F"))))</f>
        <v>B</v>
      </c>
      <c r="K51" s="30" t="str">
        <f t="shared" ref="K51" si="216">IF(K50&gt;=90,"A",IF(K50&gt;=80,"B",IF(K50&gt;=70,"C",IF(K50&gt;=60,"D","F"))))</f>
        <v>A</v>
      </c>
      <c r="L51" s="30" t="str">
        <f t="shared" ref="L51" si="217">IF(L50&gt;=90,"A",IF(L50&gt;=80,"B",IF(L50&gt;=70,"C",IF(L50&gt;=60,"D","F"))))</f>
        <v>A</v>
      </c>
      <c r="M51" s="30" t="str">
        <f t="shared" ref="M51" si="218">IF(M50&gt;=90,"A",IF(M50&gt;=80,"B",IF(M50&gt;=70,"C",IF(M50&gt;=60,"D","F"))))</f>
        <v>A</v>
      </c>
      <c r="N51" s="30" t="str">
        <f t="shared" ref="N51" si="219">IF(N50&gt;=90,"A",IF(N50&gt;=80,"B",IF(N50&gt;=70,"C",IF(N50&gt;=60,"D","F"))))</f>
        <v>A</v>
      </c>
      <c r="O51" s="30" t="str">
        <f t="shared" ref="O51" si="220">IF(O50&gt;=90,"A",IF(O50&gt;=80,"B",IF(O50&gt;=70,"C",IF(O50&gt;=60,"D","F"))))</f>
        <v>A</v>
      </c>
      <c r="P51" s="58"/>
    </row>
    <row r="52" spans="1:16" s="5" customFormat="1" ht="13.5" customHeight="1" x14ac:dyDescent="0.3">
      <c r="A52" s="14">
        <v>25</v>
      </c>
      <c r="B52" s="17" t="s">
        <v>162</v>
      </c>
      <c r="C52" s="2" t="s">
        <v>536</v>
      </c>
      <c r="D52" s="10" t="s">
        <v>376</v>
      </c>
      <c r="E52" s="30">
        <v>88</v>
      </c>
      <c r="F52" s="30">
        <v>80</v>
      </c>
      <c r="G52" s="30">
        <v>88</v>
      </c>
      <c r="H52" s="30">
        <v>95</v>
      </c>
      <c r="I52" s="30">
        <v>90</v>
      </c>
      <c r="J52" s="30">
        <v>97</v>
      </c>
      <c r="K52" s="18">
        <v>98</v>
      </c>
      <c r="L52" s="18">
        <v>98</v>
      </c>
      <c r="M52" s="18">
        <v>95</v>
      </c>
      <c r="N52" s="18">
        <v>100</v>
      </c>
      <c r="O52" s="30">
        <v>96</v>
      </c>
      <c r="P52" s="58">
        <f t="shared" si="1"/>
        <v>93.181818181818187</v>
      </c>
    </row>
    <row r="53" spans="1:16" s="5" customFormat="1" ht="13.5" customHeight="1" x14ac:dyDescent="0.3">
      <c r="A53" s="14"/>
      <c r="B53" s="17"/>
      <c r="C53" s="2"/>
      <c r="D53" s="10"/>
      <c r="E53" s="30" t="str">
        <f>IF(E52&gt;=90,"A",IF(E52&gt;=80,"B",IF(E52&gt;=70,"C",IF(E52&gt;=60,"D","F"))))</f>
        <v>B</v>
      </c>
      <c r="F53" s="30" t="str">
        <f t="shared" ref="F53" si="221">IF(F52&gt;=90,"A",IF(F52&gt;=80,"B",IF(F52&gt;=70,"C",IF(F52&gt;=60,"D","F"))))</f>
        <v>B</v>
      </c>
      <c r="G53" s="30" t="str">
        <f t="shared" ref="G53" si="222">IF(G52&gt;=90,"A",IF(G52&gt;=80,"B",IF(G52&gt;=70,"C",IF(G52&gt;=60,"D","F"))))</f>
        <v>B</v>
      </c>
      <c r="H53" s="30" t="str">
        <f t="shared" ref="H53" si="223">IF(H52&gt;=90,"A",IF(H52&gt;=80,"B",IF(H52&gt;=70,"C",IF(H52&gt;=60,"D","F"))))</f>
        <v>A</v>
      </c>
      <c r="I53" s="30" t="str">
        <f t="shared" ref="I53" si="224">IF(I52&gt;=90,"A",IF(I52&gt;=80,"B",IF(I52&gt;=70,"C",IF(I52&gt;=60,"D","F"))))</f>
        <v>A</v>
      </c>
      <c r="J53" s="30" t="str">
        <f t="shared" ref="J53" si="225">IF(J52&gt;=90,"A",IF(J52&gt;=80,"B",IF(J52&gt;=70,"C",IF(J52&gt;=60,"D","F"))))</f>
        <v>A</v>
      </c>
      <c r="K53" s="30" t="str">
        <f t="shared" ref="K53" si="226">IF(K52&gt;=90,"A",IF(K52&gt;=80,"B",IF(K52&gt;=70,"C",IF(K52&gt;=60,"D","F"))))</f>
        <v>A</v>
      </c>
      <c r="L53" s="30" t="str">
        <f t="shared" ref="L53" si="227">IF(L52&gt;=90,"A",IF(L52&gt;=80,"B",IF(L52&gt;=70,"C",IF(L52&gt;=60,"D","F"))))</f>
        <v>A</v>
      </c>
      <c r="M53" s="30" t="str">
        <f t="shared" ref="M53" si="228">IF(M52&gt;=90,"A",IF(M52&gt;=80,"B",IF(M52&gt;=70,"C",IF(M52&gt;=60,"D","F"))))</f>
        <v>A</v>
      </c>
      <c r="N53" s="30" t="str">
        <f t="shared" ref="N53" si="229">IF(N52&gt;=90,"A",IF(N52&gt;=80,"B",IF(N52&gt;=70,"C",IF(N52&gt;=60,"D","F"))))</f>
        <v>A</v>
      </c>
      <c r="O53" s="30" t="str">
        <f t="shared" ref="O53" si="230">IF(O52&gt;=90,"A",IF(O52&gt;=80,"B",IF(O52&gt;=70,"C",IF(O52&gt;=60,"D","F"))))</f>
        <v>A</v>
      </c>
      <c r="P53" s="58"/>
    </row>
    <row r="54" spans="1:16" s="5" customFormat="1" ht="13.5" customHeight="1" x14ac:dyDescent="0.3">
      <c r="A54" s="14">
        <v>26</v>
      </c>
      <c r="B54" s="17" t="s">
        <v>163</v>
      </c>
      <c r="C54" s="2" t="s">
        <v>537</v>
      </c>
      <c r="D54" s="10" t="s">
        <v>376</v>
      </c>
      <c r="E54" s="30">
        <v>99</v>
      </c>
      <c r="F54" s="30">
        <v>96</v>
      </c>
      <c r="G54" s="30">
        <v>99</v>
      </c>
      <c r="H54" s="30">
        <v>97</v>
      </c>
      <c r="I54" s="30">
        <v>100</v>
      </c>
      <c r="J54" s="30">
        <v>98</v>
      </c>
      <c r="K54" s="30">
        <v>100</v>
      </c>
      <c r="L54" s="30">
        <v>100</v>
      </c>
      <c r="M54" s="30">
        <v>95</v>
      </c>
      <c r="N54" s="30">
        <v>99</v>
      </c>
      <c r="O54" s="30">
        <v>99</v>
      </c>
      <c r="P54" s="58">
        <f t="shared" si="1"/>
        <v>98.36363636363636</v>
      </c>
    </row>
    <row r="55" spans="1:16" s="5" customFormat="1" ht="13.5" customHeight="1" x14ac:dyDescent="0.3">
      <c r="A55" s="14"/>
      <c r="B55" s="17"/>
      <c r="C55" s="2"/>
      <c r="D55" s="10"/>
      <c r="E55" s="30" t="str">
        <f>IF(E54&gt;=90,"A",IF(E54&gt;=80,"B",IF(E54&gt;=70,"C",IF(E54&gt;=60,"D","F"))))</f>
        <v>A</v>
      </c>
      <c r="F55" s="30" t="str">
        <f t="shared" ref="F55" si="231">IF(F54&gt;=90,"A",IF(F54&gt;=80,"B",IF(F54&gt;=70,"C",IF(F54&gt;=60,"D","F"))))</f>
        <v>A</v>
      </c>
      <c r="G55" s="30" t="str">
        <f t="shared" ref="G55" si="232">IF(G54&gt;=90,"A",IF(G54&gt;=80,"B",IF(G54&gt;=70,"C",IF(G54&gt;=60,"D","F"))))</f>
        <v>A</v>
      </c>
      <c r="H55" s="30" t="str">
        <f t="shared" ref="H55" si="233">IF(H54&gt;=90,"A",IF(H54&gt;=80,"B",IF(H54&gt;=70,"C",IF(H54&gt;=60,"D","F"))))</f>
        <v>A</v>
      </c>
      <c r="I55" s="30" t="str">
        <f t="shared" ref="I55" si="234">IF(I54&gt;=90,"A",IF(I54&gt;=80,"B",IF(I54&gt;=70,"C",IF(I54&gt;=60,"D","F"))))</f>
        <v>A</v>
      </c>
      <c r="J55" s="30" t="str">
        <f t="shared" ref="J55" si="235">IF(J54&gt;=90,"A",IF(J54&gt;=80,"B",IF(J54&gt;=70,"C",IF(J54&gt;=60,"D","F"))))</f>
        <v>A</v>
      </c>
      <c r="K55" s="30" t="str">
        <f t="shared" ref="K55" si="236">IF(K54&gt;=90,"A",IF(K54&gt;=80,"B",IF(K54&gt;=70,"C",IF(K54&gt;=60,"D","F"))))</f>
        <v>A</v>
      </c>
      <c r="L55" s="30" t="str">
        <f t="shared" ref="L55" si="237">IF(L54&gt;=90,"A",IF(L54&gt;=80,"B",IF(L54&gt;=70,"C",IF(L54&gt;=60,"D","F"))))</f>
        <v>A</v>
      </c>
      <c r="M55" s="30" t="str">
        <f t="shared" ref="M55" si="238">IF(M54&gt;=90,"A",IF(M54&gt;=80,"B",IF(M54&gt;=70,"C",IF(M54&gt;=60,"D","F"))))</f>
        <v>A</v>
      </c>
      <c r="N55" s="30" t="str">
        <f t="shared" ref="N55" si="239">IF(N54&gt;=90,"A",IF(N54&gt;=80,"B",IF(N54&gt;=70,"C",IF(N54&gt;=60,"D","F"))))</f>
        <v>A</v>
      </c>
      <c r="O55" s="30" t="str">
        <f t="shared" ref="O55" si="240">IF(O54&gt;=90,"A",IF(O54&gt;=80,"B",IF(O54&gt;=70,"C",IF(O54&gt;=60,"D","F"))))</f>
        <v>A</v>
      </c>
      <c r="P55" s="58"/>
    </row>
    <row r="56" spans="1:16" s="5" customFormat="1" ht="13.5" customHeight="1" x14ac:dyDescent="0.3">
      <c r="A56" s="22">
        <v>27</v>
      </c>
      <c r="B56" s="8" t="s">
        <v>379</v>
      </c>
      <c r="C56" s="2" t="s">
        <v>538</v>
      </c>
      <c r="D56" s="10" t="s">
        <v>376</v>
      </c>
      <c r="E56" s="18">
        <v>90</v>
      </c>
      <c r="F56" s="18">
        <v>93</v>
      </c>
      <c r="G56" s="18">
        <v>90</v>
      </c>
      <c r="H56" s="18">
        <v>92</v>
      </c>
      <c r="I56" s="18">
        <v>92</v>
      </c>
      <c r="J56" s="18">
        <v>90</v>
      </c>
      <c r="K56" s="30">
        <v>98</v>
      </c>
      <c r="L56" s="30">
        <v>99</v>
      </c>
      <c r="M56" s="30">
        <v>100</v>
      </c>
      <c r="N56" s="30">
        <v>97</v>
      </c>
      <c r="O56" s="30">
        <v>96</v>
      </c>
      <c r="P56" s="58">
        <f t="shared" si="1"/>
        <v>94.272727272727266</v>
      </c>
    </row>
    <row r="57" spans="1:16" s="5" customFormat="1" ht="13.5" customHeight="1" x14ac:dyDescent="0.3">
      <c r="A57" s="22"/>
      <c r="B57" s="15"/>
      <c r="C57" s="15"/>
      <c r="D57" s="22"/>
      <c r="E57" s="30" t="str">
        <f>IF(E56&gt;=90,"A",IF(E56&gt;=80,"B",IF(E56&gt;=70,"C",IF(E56&gt;=60,"D","F"))))</f>
        <v>A</v>
      </c>
      <c r="F57" s="30" t="str">
        <f t="shared" ref="F57" si="241">IF(F56&gt;=90,"A",IF(F56&gt;=80,"B",IF(F56&gt;=70,"C",IF(F56&gt;=60,"D","F"))))</f>
        <v>A</v>
      </c>
      <c r="G57" s="30" t="str">
        <f t="shared" ref="G57" si="242">IF(G56&gt;=90,"A",IF(G56&gt;=80,"B",IF(G56&gt;=70,"C",IF(G56&gt;=60,"D","F"))))</f>
        <v>A</v>
      </c>
      <c r="H57" s="30" t="str">
        <f t="shared" ref="H57" si="243">IF(H56&gt;=90,"A",IF(H56&gt;=80,"B",IF(H56&gt;=70,"C",IF(H56&gt;=60,"D","F"))))</f>
        <v>A</v>
      </c>
      <c r="I57" s="30" t="str">
        <f t="shared" ref="I57" si="244">IF(I56&gt;=90,"A",IF(I56&gt;=80,"B",IF(I56&gt;=70,"C",IF(I56&gt;=60,"D","F"))))</f>
        <v>A</v>
      </c>
      <c r="J57" s="30" t="str">
        <f t="shared" ref="J57" si="245">IF(J56&gt;=90,"A",IF(J56&gt;=80,"B",IF(J56&gt;=70,"C",IF(J56&gt;=60,"D","F"))))</f>
        <v>A</v>
      </c>
      <c r="K57" s="30" t="str">
        <f t="shared" ref="K57" si="246">IF(K56&gt;=90,"A",IF(K56&gt;=80,"B",IF(K56&gt;=70,"C",IF(K56&gt;=60,"D","F"))))</f>
        <v>A</v>
      </c>
      <c r="L57" s="30" t="str">
        <f t="shared" ref="L57" si="247">IF(L56&gt;=90,"A",IF(L56&gt;=80,"B",IF(L56&gt;=70,"C",IF(L56&gt;=60,"D","F"))))</f>
        <v>A</v>
      </c>
      <c r="M57" s="30" t="str">
        <f t="shared" ref="M57" si="248">IF(M56&gt;=90,"A",IF(M56&gt;=80,"B",IF(M56&gt;=70,"C",IF(M56&gt;=60,"D","F"))))</f>
        <v>A</v>
      </c>
      <c r="N57" s="30" t="str">
        <f t="shared" ref="N57" si="249">IF(N56&gt;=90,"A",IF(N56&gt;=80,"B",IF(N56&gt;=70,"C",IF(N56&gt;=60,"D","F"))))</f>
        <v>A</v>
      </c>
      <c r="O57" s="30" t="str">
        <f t="shared" ref="O57" si="250">IF(O56&gt;=90,"A",IF(O56&gt;=80,"B",IF(O56&gt;=70,"C",IF(O56&gt;=60,"D","F"))))</f>
        <v>A</v>
      </c>
      <c r="P57" s="58"/>
    </row>
  </sheetData>
  <sheetProtection formatCells="0" formatColumns="0" formatRows="0" insertColumns="0" insertRows="0" insertHyperlinks="0" deleteColumns="0" deleteRows="0" sort="0" autoFilter="0" pivotTables="0"/>
  <autoFilter ref="A1:D57" xr:uid="{00000000-0009-0000-0000-000008000000}">
    <filterColumn colId="0" showButton="0"/>
  </autoFilter>
  <mergeCells count="1">
    <mergeCell ref="A1:B2"/>
  </mergeCells>
  <pageMargins left="0.23" right="0.17" top="0.51" bottom="0.32" header="0.17" footer="0.21"/>
  <pageSetup paperSize="9" orientation="landscape" r:id="rId1"/>
  <headerFooter>
    <oddFooter xml:space="preserve">&amp;C
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3"/>
  <sheetViews>
    <sheetView zoomScaleNormal="100" workbookViewId="0">
      <selection activeCell="G21" sqref="G21"/>
    </sheetView>
  </sheetViews>
  <sheetFormatPr defaultRowHeight="15" x14ac:dyDescent="0.25"/>
  <cols>
    <col min="1" max="1" width="6" style="13" customWidth="1"/>
    <col min="2" max="2" width="21.7109375" style="28" customWidth="1"/>
    <col min="3" max="3" width="13.5703125" style="28" bestFit="1" customWidth="1"/>
    <col min="4" max="4" width="6" style="7" customWidth="1"/>
    <col min="5" max="5" width="8.28515625" style="28" customWidth="1"/>
    <col min="6" max="6" width="8.5703125" style="28" customWidth="1"/>
    <col min="7" max="7" width="13.42578125" style="28" bestFit="1" customWidth="1"/>
    <col min="8" max="8" width="8.7109375" style="28" customWidth="1"/>
    <col min="9" max="9" width="13.28515625" style="28" bestFit="1" customWidth="1"/>
    <col min="10" max="10" width="9.28515625" style="28" customWidth="1"/>
    <col min="11" max="11" width="9.42578125" style="28" customWidth="1"/>
    <col min="12" max="12" width="10.28515625" style="28" customWidth="1"/>
    <col min="13" max="13" width="9.5703125" style="28" customWidth="1"/>
    <col min="14" max="15" width="9.28515625" style="28" customWidth="1"/>
    <col min="16" max="16384" width="9.140625" style="2"/>
  </cols>
  <sheetData>
    <row r="1" spans="1:16" ht="6" customHeight="1" x14ac:dyDescent="0.25">
      <c r="A1" s="85" t="s">
        <v>564</v>
      </c>
      <c r="B1" s="86"/>
      <c r="C1" s="80"/>
    </row>
    <row r="2" spans="1:16" ht="10.5" customHeight="1" x14ac:dyDescent="0.25">
      <c r="A2" s="87"/>
      <c r="B2" s="88"/>
      <c r="C2" s="80"/>
    </row>
    <row r="3" spans="1:16" ht="15.75" customHeight="1" x14ac:dyDescent="0.25">
      <c r="A3" s="23" t="s">
        <v>0</v>
      </c>
      <c r="B3" s="24" t="s">
        <v>1</v>
      </c>
      <c r="C3" s="24"/>
      <c r="D3" s="20" t="s">
        <v>2</v>
      </c>
      <c r="E3" s="29" t="s">
        <v>426</v>
      </c>
      <c r="F3" s="29" t="s">
        <v>427</v>
      </c>
      <c r="G3" s="29" t="s">
        <v>456</v>
      </c>
      <c r="H3" s="29" t="s">
        <v>423</v>
      </c>
      <c r="I3" s="29" t="s">
        <v>827</v>
      </c>
      <c r="J3" s="29" t="s">
        <v>431</v>
      </c>
      <c r="K3" s="29" t="s">
        <v>432</v>
      </c>
      <c r="L3" s="29" t="s">
        <v>445</v>
      </c>
      <c r="M3" s="29" t="s">
        <v>424</v>
      </c>
      <c r="N3" s="29" t="s">
        <v>425</v>
      </c>
      <c r="O3" s="29" t="s">
        <v>438</v>
      </c>
      <c r="P3" s="29" t="s">
        <v>428</v>
      </c>
    </row>
    <row r="4" spans="1:16" s="5" customFormat="1" ht="13.5" customHeight="1" x14ac:dyDescent="0.3">
      <c r="A4" s="14">
        <v>1</v>
      </c>
      <c r="B4" s="17" t="s">
        <v>164</v>
      </c>
      <c r="C4" s="2" t="s">
        <v>541</v>
      </c>
      <c r="D4" s="22" t="s">
        <v>375</v>
      </c>
      <c r="E4" s="18">
        <v>87</v>
      </c>
      <c r="F4" s="18">
        <v>92</v>
      </c>
      <c r="G4" s="18">
        <v>86</v>
      </c>
      <c r="H4" s="18">
        <v>87</v>
      </c>
      <c r="I4" s="18">
        <v>81</v>
      </c>
      <c r="J4" s="18">
        <v>90</v>
      </c>
      <c r="K4" s="18">
        <v>100</v>
      </c>
      <c r="L4" s="18">
        <v>100</v>
      </c>
      <c r="M4" s="18">
        <v>95</v>
      </c>
      <c r="N4" s="18">
        <v>90</v>
      </c>
      <c r="O4" s="30">
        <v>100</v>
      </c>
      <c r="P4" s="58">
        <f>AVERAGE(E4:O4)</f>
        <v>91.63636363636364</v>
      </c>
    </row>
    <row r="5" spans="1:16" s="5" customFormat="1" ht="13.5" customHeight="1" x14ac:dyDescent="0.3">
      <c r="A5" s="14"/>
      <c r="B5" s="17"/>
      <c r="D5" s="22"/>
      <c r="E5" s="30" t="str">
        <f t="shared" ref="E5:O5" si="0">IF(E4&gt;=90,"A",IF(E4&gt;=80,"B",IF(E4&gt;=70,"C",IF(E4&gt;=60,"D","F"))))</f>
        <v>B</v>
      </c>
      <c r="F5" s="30" t="str">
        <f t="shared" si="0"/>
        <v>A</v>
      </c>
      <c r="G5" s="30" t="str">
        <f t="shared" si="0"/>
        <v>B</v>
      </c>
      <c r="H5" s="30" t="str">
        <f t="shared" si="0"/>
        <v>B</v>
      </c>
      <c r="I5" s="30" t="str">
        <f t="shared" si="0"/>
        <v>B</v>
      </c>
      <c r="J5" s="30" t="str">
        <f t="shared" si="0"/>
        <v>A</v>
      </c>
      <c r="K5" s="30" t="str">
        <f t="shared" si="0"/>
        <v>A</v>
      </c>
      <c r="L5" s="30" t="str">
        <f t="shared" si="0"/>
        <v>A</v>
      </c>
      <c r="M5" s="30" t="str">
        <f t="shared" si="0"/>
        <v>A</v>
      </c>
      <c r="N5" s="30" t="str">
        <f t="shared" si="0"/>
        <v>A</v>
      </c>
      <c r="O5" s="30" t="str">
        <f t="shared" si="0"/>
        <v>A</v>
      </c>
      <c r="P5" s="58"/>
    </row>
    <row r="6" spans="1:16" s="5" customFormat="1" ht="13.5" customHeight="1" x14ac:dyDescent="0.3">
      <c r="A6" s="14">
        <v>2</v>
      </c>
      <c r="B6" s="17" t="s">
        <v>165</v>
      </c>
      <c r="C6" s="2" t="s">
        <v>539</v>
      </c>
      <c r="D6" s="22" t="s">
        <v>376</v>
      </c>
      <c r="E6" s="30">
        <v>76</v>
      </c>
      <c r="F6" s="30">
        <v>94</v>
      </c>
      <c r="G6" s="30">
        <v>88</v>
      </c>
      <c r="H6" s="30">
        <v>87</v>
      </c>
      <c r="I6" s="30">
        <v>89</v>
      </c>
      <c r="J6" s="30">
        <v>91</v>
      </c>
      <c r="K6" s="30">
        <v>97</v>
      </c>
      <c r="L6" s="30">
        <v>98</v>
      </c>
      <c r="M6" s="30">
        <v>93</v>
      </c>
      <c r="N6" s="30">
        <v>100</v>
      </c>
      <c r="O6" s="30">
        <v>98</v>
      </c>
      <c r="P6" s="58">
        <f t="shared" ref="P6:P52" si="1">AVERAGE(E6:O6)</f>
        <v>91.909090909090907</v>
      </c>
    </row>
    <row r="7" spans="1:16" s="5" customFormat="1" ht="13.5" customHeight="1" x14ac:dyDescent="0.3">
      <c r="A7" s="14"/>
      <c r="B7" s="17"/>
      <c r="D7" s="22"/>
      <c r="E7" s="30" t="str">
        <f t="shared" ref="E7:O7" si="2">IF(E6&gt;=90,"A",IF(E6&gt;=80,"B",IF(E6&gt;=70,"C",IF(E6&gt;=60,"D","F"))))</f>
        <v>C</v>
      </c>
      <c r="F7" s="30" t="str">
        <f t="shared" si="2"/>
        <v>A</v>
      </c>
      <c r="G7" s="30" t="str">
        <f t="shared" si="2"/>
        <v>B</v>
      </c>
      <c r="H7" s="30" t="str">
        <f t="shared" si="2"/>
        <v>B</v>
      </c>
      <c r="I7" s="30" t="str">
        <f t="shared" si="2"/>
        <v>B</v>
      </c>
      <c r="J7" s="30" t="str">
        <f t="shared" si="2"/>
        <v>A</v>
      </c>
      <c r="K7" s="30" t="str">
        <f t="shared" si="2"/>
        <v>A</v>
      </c>
      <c r="L7" s="30" t="str">
        <f t="shared" si="2"/>
        <v>A</v>
      </c>
      <c r="M7" s="30" t="str">
        <f t="shared" si="2"/>
        <v>A</v>
      </c>
      <c r="N7" s="30" t="str">
        <f t="shared" si="2"/>
        <v>A</v>
      </c>
      <c r="O7" s="30" t="str">
        <f t="shared" si="2"/>
        <v>A</v>
      </c>
      <c r="P7" s="58"/>
    </row>
    <row r="8" spans="1:16" s="5" customFormat="1" ht="13.5" customHeight="1" x14ac:dyDescent="0.3">
      <c r="A8" s="14">
        <v>3</v>
      </c>
      <c r="B8" s="17" t="s">
        <v>166</v>
      </c>
      <c r="C8" s="2" t="s">
        <v>540</v>
      </c>
      <c r="D8" s="22" t="s">
        <v>375</v>
      </c>
      <c r="E8" s="30">
        <v>45</v>
      </c>
      <c r="F8" s="30">
        <v>60</v>
      </c>
      <c r="G8" s="30">
        <v>47</v>
      </c>
      <c r="H8" s="30">
        <v>49</v>
      </c>
      <c r="I8" s="30">
        <v>45</v>
      </c>
      <c r="J8" s="30">
        <v>70</v>
      </c>
      <c r="K8" s="30">
        <v>99</v>
      </c>
      <c r="L8" s="30">
        <v>99</v>
      </c>
      <c r="M8" s="30">
        <v>90</v>
      </c>
      <c r="N8" s="30">
        <v>100</v>
      </c>
      <c r="O8" s="30">
        <v>98</v>
      </c>
      <c r="P8" s="58">
        <f t="shared" si="1"/>
        <v>72.909090909090907</v>
      </c>
    </row>
    <row r="9" spans="1:16" s="5" customFormat="1" ht="13.5" customHeight="1" x14ac:dyDescent="0.3">
      <c r="A9" s="14"/>
      <c r="B9" s="17"/>
      <c r="C9" s="2"/>
      <c r="D9" s="22"/>
      <c r="E9" s="30" t="str">
        <f t="shared" ref="E9:O9" si="3">IF(E8&gt;=90,"A",IF(E8&gt;=80,"B",IF(E8&gt;=70,"C",IF(E8&gt;=60,"D","F"))))</f>
        <v>F</v>
      </c>
      <c r="F9" s="30" t="str">
        <f t="shared" si="3"/>
        <v>D</v>
      </c>
      <c r="G9" s="30" t="str">
        <f t="shared" si="3"/>
        <v>F</v>
      </c>
      <c r="H9" s="30" t="str">
        <f t="shared" si="3"/>
        <v>F</v>
      </c>
      <c r="I9" s="30" t="str">
        <f t="shared" si="3"/>
        <v>F</v>
      </c>
      <c r="J9" s="30" t="str">
        <f t="shared" si="3"/>
        <v>C</v>
      </c>
      <c r="K9" s="30" t="str">
        <f t="shared" si="3"/>
        <v>A</v>
      </c>
      <c r="L9" s="30" t="str">
        <f t="shared" si="3"/>
        <v>A</v>
      </c>
      <c r="M9" s="30" t="str">
        <f t="shared" si="3"/>
        <v>A</v>
      </c>
      <c r="N9" s="30" t="str">
        <f t="shared" si="3"/>
        <v>A</v>
      </c>
      <c r="O9" s="30" t="str">
        <f t="shared" si="3"/>
        <v>A</v>
      </c>
      <c r="P9" s="58"/>
    </row>
    <row r="10" spans="1:16" s="5" customFormat="1" ht="13.5" customHeight="1" x14ac:dyDescent="0.3">
      <c r="A10" s="14">
        <v>4</v>
      </c>
      <c r="B10" s="17" t="s">
        <v>167</v>
      </c>
      <c r="C10" s="2" t="s">
        <v>542</v>
      </c>
      <c r="D10" s="22" t="s">
        <v>375</v>
      </c>
      <c r="E10" s="30">
        <v>76</v>
      </c>
      <c r="F10" s="30">
        <v>71</v>
      </c>
      <c r="G10" s="30">
        <v>92</v>
      </c>
      <c r="H10" s="30">
        <v>90</v>
      </c>
      <c r="I10" s="30">
        <v>93</v>
      </c>
      <c r="J10" s="30">
        <v>95</v>
      </c>
      <c r="K10" s="30">
        <v>98</v>
      </c>
      <c r="L10" s="30">
        <v>98</v>
      </c>
      <c r="M10" s="30">
        <v>82</v>
      </c>
      <c r="N10" s="30">
        <v>100</v>
      </c>
      <c r="O10" s="30">
        <v>98</v>
      </c>
      <c r="P10" s="58">
        <f t="shared" si="1"/>
        <v>90.272727272727266</v>
      </c>
    </row>
    <row r="11" spans="1:16" s="5" customFormat="1" ht="13.5" customHeight="1" x14ac:dyDescent="0.3">
      <c r="A11" s="14"/>
      <c r="B11" s="17"/>
      <c r="C11" s="2"/>
      <c r="D11" s="22"/>
      <c r="E11" s="30" t="str">
        <f t="shared" ref="E11:O11" si="4">IF(E10&gt;=90,"A",IF(E10&gt;=80,"B",IF(E10&gt;=70,"C",IF(E10&gt;=60,"D","F"))))</f>
        <v>C</v>
      </c>
      <c r="F11" s="30" t="str">
        <f t="shared" si="4"/>
        <v>C</v>
      </c>
      <c r="G11" s="30" t="str">
        <f t="shared" si="4"/>
        <v>A</v>
      </c>
      <c r="H11" s="30" t="str">
        <f t="shared" si="4"/>
        <v>A</v>
      </c>
      <c r="I11" s="30" t="str">
        <f t="shared" si="4"/>
        <v>A</v>
      </c>
      <c r="J11" s="30" t="str">
        <f t="shared" si="4"/>
        <v>A</v>
      </c>
      <c r="K11" s="30" t="str">
        <f t="shared" si="4"/>
        <v>A</v>
      </c>
      <c r="L11" s="30" t="str">
        <f t="shared" si="4"/>
        <v>A</v>
      </c>
      <c r="M11" s="30" t="str">
        <f t="shared" si="4"/>
        <v>B</v>
      </c>
      <c r="N11" s="30" t="str">
        <f t="shared" si="4"/>
        <v>A</v>
      </c>
      <c r="O11" s="30" t="str">
        <f t="shared" si="4"/>
        <v>A</v>
      </c>
      <c r="P11" s="58"/>
    </row>
    <row r="12" spans="1:16" s="5" customFormat="1" ht="13.5" customHeight="1" x14ac:dyDescent="0.3">
      <c r="A12" s="14">
        <v>5</v>
      </c>
      <c r="B12" s="17" t="s">
        <v>168</v>
      </c>
      <c r="C12" s="2" t="s">
        <v>543</v>
      </c>
      <c r="D12" s="22" t="s">
        <v>375</v>
      </c>
      <c r="E12" s="18">
        <v>90</v>
      </c>
      <c r="F12" s="18">
        <v>93</v>
      </c>
      <c r="G12" s="18">
        <v>95</v>
      </c>
      <c r="H12" s="18">
        <v>98</v>
      </c>
      <c r="I12" s="18">
        <v>99</v>
      </c>
      <c r="J12" s="18">
        <v>98</v>
      </c>
      <c r="K12" s="30">
        <v>100</v>
      </c>
      <c r="L12" s="30">
        <v>100</v>
      </c>
      <c r="M12" s="30">
        <v>87</v>
      </c>
      <c r="N12" s="30">
        <v>100</v>
      </c>
      <c r="O12" s="30">
        <v>98</v>
      </c>
      <c r="P12" s="58">
        <f t="shared" si="1"/>
        <v>96.181818181818187</v>
      </c>
    </row>
    <row r="13" spans="1:16" s="5" customFormat="1" ht="13.5" customHeight="1" x14ac:dyDescent="0.3">
      <c r="A13" s="14"/>
      <c r="B13" s="17"/>
      <c r="C13" s="2"/>
      <c r="D13" s="22"/>
      <c r="E13" s="30" t="str">
        <f t="shared" ref="E13:O13" si="5">IF(E12&gt;=90,"A",IF(E12&gt;=80,"B",IF(E12&gt;=70,"C",IF(E12&gt;=60,"D","F"))))</f>
        <v>A</v>
      </c>
      <c r="F13" s="30" t="str">
        <f t="shared" si="5"/>
        <v>A</v>
      </c>
      <c r="G13" s="30" t="str">
        <f t="shared" si="5"/>
        <v>A</v>
      </c>
      <c r="H13" s="30" t="str">
        <f t="shared" si="5"/>
        <v>A</v>
      </c>
      <c r="I13" s="30" t="str">
        <f t="shared" si="5"/>
        <v>A</v>
      </c>
      <c r="J13" s="30" t="str">
        <f t="shared" si="5"/>
        <v>A</v>
      </c>
      <c r="K13" s="30" t="str">
        <f t="shared" si="5"/>
        <v>A</v>
      </c>
      <c r="L13" s="30" t="str">
        <f t="shared" si="5"/>
        <v>A</v>
      </c>
      <c r="M13" s="30" t="str">
        <f t="shared" si="5"/>
        <v>B</v>
      </c>
      <c r="N13" s="30" t="str">
        <f t="shared" si="5"/>
        <v>A</v>
      </c>
      <c r="O13" s="30" t="str">
        <f t="shared" si="5"/>
        <v>A</v>
      </c>
      <c r="P13" s="58"/>
    </row>
    <row r="14" spans="1:16" s="5" customFormat="1" ht="13.5" customHeight="1" x14ac:dyDescent="0.3">
      <c r="A14" s="14">
        <v>6</v>
      </c>
      <c r="B14" s="17" t="s">
        <v>169</v>
      </c>
      <c r="C14" s="2" t="s">
        <v>544</v>
      </c>
      <c r="D14" s="22" t="s">
        <v>375</v>
      </c>
      <c r="E14" s="18">
        <v>95</v>
      </c>
      <c r="F14" s="18">
        <v>93</v>
      </c>
      <c r="G14" s="18">
        <v>98</v>
      </c>
      <c r="H14" s="18">
        <v>100</v>
      </c>
      <c r="I14" s="18">
        <v>98</v>
      </c>
      <c r="J14" s="18">
        <v>98</v>
      </c>
      <c r="K14" s="18">
        <v>100</v>
      </c>
      <c r="L14" s="18">
        <v>98</v>
      </c>
      <c r="M14" s="18">
        <v>98</v>
      </c>
      <c r="N14" s="18">
        <v>96</v>
      </c>
      <c r="O14" s="30">
        <v>98</v>
      </c>
      <c r="P14" s="58">
        <f t="shared" si="1"/>
        <v>97.454545454545453</v>
      </c>
    </row>
    <row r="15" spans="1:16" s="5" customFormat="1" ht="13.5" customHeight="1" x14ac:dyDescent="0.3">
      <c r="A15" s="14"/>
      <c r="B15" s="17"/>
      <c r="C15" s="2"/>
      <c r="D15" s="22"/>
      <c r="E15" s="30" t="str">
        <f t="shared" ref="E15:O53" si="6">IF(E14&gt;=90,"A",IF(E14&gt;=80,"B",IF(E14&gt;=70,"C",IF(E14&gt;=60,"D","F"))))</f>
        <v>A</v>
      </c>
      <c r="F15" s="30" t="str">
        <f t="shared" si="6"/>
        <v>A</v>
      </c>
      <c r="G15" s="30" t="str">
        <f t="shared" si="6"/>
        <v>A</v>
      </c>
      <c r="H15" s="30" t="str">
        <f t="shared" si="6"/>
        <v>A</v>
      </c>
      <c r="I15" s="30" t="str">
        <f t="shared" si="6"/>
        <v>A</v>
      </c>
      <c r="J15" s="30" t="str">
        <f t="shared" si="6"/>
        <v>A</v>
      </c>
      <c r="K15" s="30" t="str">
        <f t="shared" si="6"/>
        <v>A</v>
      </c>
      <c r="L15" s="30" t="str">
        <f t="shared" si="6"/>
        <v>A</v>
      </c>
      <c r="M15" s="30" t="str">
        <f t="shared" si="6"/>
        <v>A</v>
      </c>
      <c r="N15" s="30" t="str">
        <f t="shared" si="6"/>
        <v>A</v>
      </c>
      <c r="O15" s="30" t="str">
        <f t="shared" si="6"/>
        <v>A</v>
      </c>
      <c r="P15" s="58"/>
    </row>
    <row r="16" spans="1:16" s="5" customFormat="1" ht="13.5" customHeight="1" x14ac:dyDescent="0.3">
      <c r="A16" s="14">
        <v>7</v>
      </c>
      <c r="B16" s="17" t="s">
        <v>170</v>
      </c>
      <c r="C16" s="2" t="s">
        <v>545</v>
      </c>
      <c r="D16" s="22" t="s">
        <v>375</v>
      </c>
      <c r="E16" s="30">
        <v>96</v>
      </c>
      <c r="F16" s="30">
        <v>86</v>
      </c>
      <c r="G16" s="30">
        <v>80</v>
      </c>
      <c r="H16" s="30">
        <v>94</v>
      </c>
      <c r="I16" s="30">
        <v>94</v>
      </c>
      <c r="J16" s="30">
        <v>90</v>
      </c>
      <c r="K16" s="30">
        <v>97</v>
      </c>
      <c r="L16" s="30">
        <v>99</v>
      </c>
      <c r="M16" s="30">
        <v>87</v>
      </c>
      <c r="N16" s="30">
        <v>97</v>
      </c>
      <c r="O16" s="30">
        <v>99</v>
      </c>
      <c r="P16" s="58">
        <f t="shared" si="1"/>
        <v>92.63636363636364</v>
      </c>
    </row>
    <row r="17" spans="1:16" s="5" customFormat="1" ht="13.5" customHeight="1" x14ac:dyDescent="0.3">
      <c r="A17" s="14"/>
      <c r="B17" s="17"/>
      <c r="C17" s="2"/>
      <c r="D17" s="22"/>
      <c r="E17" s="30" t="str">
        <f t="shared" ref="E17:N17" si="7">IF(E16&gt;=90,"A",IF(E16&gt;=80,"B",IF(E16&gt;=70,"C",IF(E16&gt;=60,"D","F"))))</f>
        <v>A</v>
      </c>
      <c r="F17" s="30" t="str">
        <f t="shared" si="7"/>
        <v>B</v>
      </c>
      <c r="G17" s="30" t="str">
        <f t="shared" si="7"/>
        <v>B</v>
      </c>
      <c r="H17" s="30" t="str">
        <f t="shared" si="7"/>
        <v>A</v>
      </c>
      <c r="I17" s="30" t="str">
        <f t="shared" si="7"/>
        <v>A</v>
      </c>
      <c r="J17" s="30" t="str">
        <f t="shared" si="7"/>
        <v>A</v>
      </c>
      <c r="K17" s="30" t="str">
        <f t="shared" si="7"/>
        <v>A</v>
      </c>
      <c r="L17" s="30" t="str">
        <f t="shared" si="7"/>
        <v>A</v>
      </c>
      <c r="M17" s="30" t="str">
        <f t="shared" si="7"/>
        <v>B</v>
      </c>
      <c r="N17" s="30" t="str">
        <f t="shared" si="7"/>
        <v>A</v>
      </c>
      <c r="O17" s="30" t="str">
        <f t="shared" si="6"/>
        <v>A</v>
      </c>
      <c r="P17" s="58"/>
    </row>
    <row r="18" spans="1:16" s="5" customFormat="1" ht="13.5" customHeight="1" x14ac:dyDescent="0.3">
      <c r="A18" s="14">
        <v>8</v>
      </c>
      <c r="B18" s="17" t="s">
        <v>171</v>
      </c>
      <c r="C18" s="2" t="s">
        <v>546</v>
      </c>
      <c r="D18" s="22" t="s">
        <v>375</v>
      </c>
      <c r="E18" s="30">
        <v>52</v>
      </c>
      <c r="F18" s="30">
        <v>75</v>
      </c>
      <c r="G18" s="30">
        <v>60</v>
      </c>
      <c r="H18" s="30">
        <v>52</v>
      </c>
      <c r="I18" s="30">
        <v>58</v>
      </c>
      <c r="J18" s="30">
        <v>67</v>
      </c>
      <c r="K18" s="30">
        <v>100</v>
      </c>
      <c r="L18" s="30">
        <v>98</v>
      </c>
      <c r="M18" s="30">
        <v>82</v>
      </c>
      <c r="N18" s="30">
        <v>100</v>
      </c>
      <c r="O18" s="30">
        <v>98</v>
      </c>
      <c r="P18" s="58">
        <f t="shared" si="1"/>
        <v>76.545454545454547</v>
      </c>
    </row>
    <row r="19" spans="1:16" s="5" customFormat="1" ht="13.5" customHeight="1" x14ac:dyDescent="0.3">
      <c r="A19" s="14"/>
      <c r="B19" s="17"/>
      <c r="C19" s="2"/>
      <c r="D19" s="22"/>
      <c r="E19" s="30" t="str">
        <f t="shared" ref="E19:N19" si="8">IF(E18&gt;=90,"A",IF(E18&gt;=80,"B",IF(E18&gt;=70,"C",IF(E18&gt;=60,"D","F"))))</f>
        <v>F</v>
      </c>
      <c r="F19" s="30" t="str">
        <f t="shared" si="8"/>
        <v>C</v>
      </c>
      <c r="G19" s="30" t="str">
        <f t="shared" si="8"/>
        <v>D</v>
      </c>
      <c r="H19" s="30" t="str">
        <f t="shared" si="8"/>
        <v>F</v>
      </c>
      <c r="I19" s="30" t="str">
        <f t="shared" si="8"/>
        <v>F</v>
      </c>
      <c r="J19" s="30" t="str">
        <f t="shared" si="8"/>
        <v>D</v>
      </c>
      <c r="K19" s="30" t="str">
        <f t="shared" si="8"/>
        <v>A</v>
      </c>
      <c r="L19" s="30" t="str">
        <f t="shared" si="8"/>
        <v>A</v>
      </c>
      <c r="M19" s="30" t="str">
        <f t="shared" si="8"/>
        <v>B</v>
      </c>
      <c r="N19" s="30" t="str">
        <f t="shared" si="8"/>
        <v>A</v>
      </c>
      <c r="O19" s="30" t="str">
        <f t="shared" si="6"/>
        <v>A</v>
      </c>
      <c r="P19" s="58"/>
    </row>
    <row r="20" spans="1:16" s="5" customFormat="1" ht="13.5" customHeight="1" x14ac:dyDescent="0.3">
      <c r="A20" s="14">
        <v>9</v>
      </c>
      <c r="B20" s="17" t="s">
        <v>172</v>
      </c>
      <c r="C20" s="2" t="s">
        <v>547</v>
      </c>
      <c r="D20" s="22" t="s">
        <v>375</v>
      </c>
      <c r="E20" s="18">
        <v>90</v>
      </c>
      <c r="F20" s="60">
        <v>0</v>
      </c>
      <c r="G20" s="18">
        <v>94</v>
      </c>
      <c r="H20" s="18">
        <v>96</v>
      </c>
      <c r="I20" s="18">
        <v>98</v>
      </c>
      <c r="J20" s="18">
        <v>92</v>
      </c>
      <c r="K20" s="18">
        <v>100</v>
      </c>
      <c r="L20" s="18">
        <v>100</v>
      </c>
      <c r="M20" s="18">
        <v>96</v>
      </c>
      <c r="N20" s="18">
        <v>100</v>
      </c>
      <c r="O20" s="30">
        <v>97</v>
      </c>
      <c r="P20" s="58">
        <f>AVERAGE(E20,G20:O20)</f>
        <v>96.3</v>
      </c>
    </row>
    <row r="21" spans="1:16" s="5" customFormat="1" ht="13.5" customHeight="1" x14ac:dyDescent="0.3">
      <c r="A21" s="14"/>
      <c r="B21" s="17"/>
      <c r="C21" s="2"/>
      <c r="D21" s="22"/>
      <c r="E21" s="30" t="str">
        <f>IF(E20&gt;=90,"A",IF(E20&gt;=80,"B",IF(E20&gt;=70,"C",IF(E20&gt;=60,"D","F"))))</f>
        <v>A</v>
      </c>
      <c r="F21" s="60"/>
      <c r="G21" s="30" t="str">
        <f>IF(G20&gt;=90,"A",IF(G20&gt;=80,"B",IF(G20&gt;=70,"C",IF(G20&gt;=60,"D","F"))))</f>
        <v>A</v>
      </c>
      <c r="H21" s="30" t="str">
        <f>IF(H20&gt;=90,"A",IF(H20&gt;=80,"B",IF(H20&gt;=70,"C",IF(H20&gt;=60,"D","F"))))</f>
        <v>A</v>
      </c>
      <c r="I21" s="30" t="str">
        <f>IF(I20&gt;=90,"A",IF(I20&gt;=80,"B",IF(I20&gt;=70,"C",IF(I20&gt;=60,"D","F"))))</f>
        <v>A</v>
      </c>
      <c r="J21" s="30" t="str">
        <f>IF(J20&gt;=90,"A",IF(J20&gt;=80,"B",IF(J20&gt;=70,"C",IF(J20&gt;=60,"D","F"))))</f>
        <v>A</v>
      </c>
      <c r="K21" s="30" t="str">
        <f t="shared" ref="K21:N21" si="9">IF(K20&gt;=90,"A",IF(K20&gt;=80,"B",IF(K20&gt;=70,"C",IF(K20&gt;=60,"D","F"))))</f>
        <v>A</v>
      </c>
      <c r="L21" s="30" t="str">
        <f t="shared" si="9"/>
        <v>A</v>
      </c>
      <c r="M21" s="30" t="str">
        <f t="shared" si="9"/>
        <v>A</v>
      </c>
      <c r="N21" s="30" t="str">
        <f t="shared" si="9"/>
        <v>A</v>
      </c>
      <c r="O21" s="30" t="str">
        <f t="shared" si="6"/>
        <v>A</v>
      </c>
      <c r="P21" s="58"/>
    </row>
    <row r="22" spans="1:16" s="5" customFormat="1" ht="13.5" customHeight="1" x14ac:dyDescent="0.3">
      <c r="A22" s="14">
        <v>10</v>
      </c>
      <c r="B22" s="17" t="s">
        <v>173</v>
      </c>
      <c r="C22" s="2" t="s">
        <v>548</v>
      </c>
      <c r="D22" s="22" t="s">
        <v>376</v>
      </c>
      <c r="E22" s="15">
        <v>87</v>
      </c>
      <c r="F22" s="60">
        <v>0</v>
      </c>
      <c r="G22" s="18">
        <v>82</v>
      </c>
      <c r="H22" s="18">
        <v>90</v>
      </c>
      <c r="I22" s="18">
        <v>84</v>
      </c>
      <c r="J22" s="18">
        <v>97</v>
      </c>
      <c r="K22" s="18">
        <v>100</v>
      </c>
      <c r="L22" s="18">
        <v>98</v>
      </c>
      <c r="M22" s="18">
        <v>92</v>
      </c>
      <c r="N22" s="18">
        <v>100</v>
      </c>
      <c r="O22" s="30">
        <v>98</v>
      </c>
      <c r="P22" s="58">
        <f>AVERAGE(E22,G22:O22)</f>
        <v>92.8</v>
      </c>
    </row>
    <row r="23" spans="1:16" s="5" customFormat="1" ht="13.5" customHeight="1" x14ac:dyDescent="0.3">
      <c r="A23" s="14"/>
      <c r="B23" s="17"/>
      <c r="C23" s="2"/>
      <c r="D23" s="22"/>
      <c r="E23" s="30" t="str">
        <f>IF(E22&gt;=90,"A",IF(E22&gt;=80,"B",IF(E22&gt;=70,"C",IF(E22&gt;=60,"D","F"))))</f>
        <v>B</v>
      </c>
      <c r="F23" s="30"/>
      <c r="G23" s="30" t="str">
        <f t="shared" ref="G23:N23" si="10">IF(G22&gt;=90,"A",IF(G22&gt;=80,"B",IF(G22&gt;=70,"C",IF(G22&gt;=60,"D","F"))))</f>
        <v>B</v>
      </c>
      <c r="H23" s="30" t="str">
        <f t="shared" si="10"/>
        <v>A</v>
      </c>
      <c r="I23" s="30" t="str">
        <f t="shared" si="10"/>
        <v>B</v>
      </c>
      <c r="J23" s="30" t="str">
        <f t="shared" si="10"/>
        <v>A</v>
      </c>
      <c r="K23" s="30" t="str">
        <f t="shared" si="10"/>
        <v>A</v>
      </c>
      <c r="L23" s="30" t="str">
        <f t="shared" si="10"/>
        <v>A</v>
      </c>
      <c r="M23" s="30" t="str">
        <f t="shared" si="10"/>
        <v>A</v>
      </c>
      <c r="N23" s="30" t="str">
        <f t="shared" si="10"/>
        <v>A</v>
      </c>
      <c r="O23" s="30" t="str">
        <f t="shared" si="6"/>
        <v>A</v>
      </c>
      <c r="P23" s="58"/>
    </row>
    <row r="24" spans="1:16" s="5" customFormat="1" ht="13.5" customHeight="1" x14ac:dyDescent="0.3">
      <c r="A24" s="14">
        <v>11</v>
      </c>
      <c r="B24" s="17" t="s">
        <v>174</v>
      </c>
      <c r="C24" s="2" t="s">
        <v>549</v>
      </c>
      <c r="D24" s="22" t="s">
        <v>376</v>
      </c>
      <c r="E24" s="18">
        <v>88</v>
      </c>
      <c r="F24" s="18">
        <v>88</v>
      </c>
      <c r="G24" s="30">
        <v>88</v>
      </c>
      <c r="H24" s="30">
        <v>88</v>
      </c>
      <c r="I24" s="30">
        <v>86</v>
      </c>
      <c r="J24" s="30">
        <v>100</v>
      </c>
      <c r="K24" s="30">
        <v>100</v>
      </c>
      <c r="L24" s="30">
        <v>98</v>
      </c>
      <c r="M24" s="30">
        <v>99</v>
      </c>
      <c r="N24" s="30">
        <v>99</v>
      </c>
      <c r="O24" s="30">
        <v>98</v>
      </c>
      <c r="P24" s="58">
        <f t="shared" si="1"/>
        <v>93.818181818181813</v>
      </c>
    </row>
    <row r="25" spans="1:16" s="5" customFormat="1" ht="13.5" customHeight="1" x14ac:dyDescent="0.3">
      <c r="A25" s="14"/>
      <c r="B25" s="17"/>
      <c r="C25" s="2"/>
      <c r="D25" s="22"/>
      <c r="E25" s="30" t="str">
        <f t="shared" ref="E25:N25" si="11">IF(E24&gt;=90,"A",IF(E24&gt;=80,"B",IF(E24&gt;=70,"C",IF(E24&gt;=60,"D","F"))))</f>
        <v>B</v>
      </c>
      <c r="F25" s="30" t="str">
        <f t="shared" si="11"/>
        <v>B</v>
      </c>
      <c r="G25" s="30" t="str">
        <f t="shared" si="11"/>
        <v>B</v>
      </c>
      <c r="H25" s="30" t="str">
        <f t="shared" si="11"/>
        <v>B</v>
      </c>
      <c r="I25" s="30" t="str">
        <f t="shared" si="11"/>
        <v>B</v>
      </c>
      <c r="J25" s="30" t="str">
        <f t="shared" si="11"/>
        <v>A</v>
      </c>
      <c r="K25" s="30" t="str">
        <f t="shared" si="11"/>
        <v>A</v>
      </c>
      <c r="L25" s="30" t="str">
        <f t="shared" si="11"/>
        <v>A</v>
      </c>
      <c r="M25" s="30" t="str">
        <f t="shared" si="11"/>
        <v>A</v>
      </c>
      <c r="N25" s="30" t="str">
        <f t="shared" si="11"/>
        <v>A</v>
      </c>
      <c r="O25" s="30" t="str">
        <f t="shared" si="6"/>
        <v>A</v>
      </c>
      <c r="P25" s="58"/>
    </row>
    <row r="26" spans="1:16" s="5" customFormat="1" ht="13.5" customHeight="1" x14ac:dyDescent="0.3">
      <c r="A26" s="14">
        <v>12</v>
      </c>
      <c r="B26" s="17" t="s">
        <v>175</v>
      </c>
      <c r="C26" s="2" t="s">
        <v>550</v>
      </c>
      <c r="D26" s="22" t="s">
        <v>376</v>
      </c>
      <c r="E26" s="30">
        <v>97</v>
      </c>
      <c r="F26" s="30">
        <v>91</v>
      </c>
      <c r="G26" s="30">
        <v>95</v>
      </c>
      <c r="H26" s="30">
        <v>100</v>
      </c>
      <c r="I26" s="30">
        <v>100</v>
      </c>
      <c r="J26" s="30">
        <v>95</v>
      </c>
      <c r="K26" s="30">
        <v>91</v>
      </c>
      <c r="L26" s="30">
        <v>100</v>
      </c>
      <c r="M26" s="30">
        <v>94</v>
      </c>
      <c r="N26" s="30">
        <v>99</v>
      </c>
      <c r="O26" s="30">
        <v>98</v>
      </c>
      <c r="P26" s="58">
        <f t="shared" si="1"/>
        <v>96.36363636363636</v>
      </c>
    </row>
    <row r="27" spans="1:16" s="5" customFormat="1" ht="13.5" customHeight="1" x14ac:dyDescent="0.3">
      <c r="A27" s="14"/>
      <c r="B27" s="17"/>
      <c r="C27" s="2"/>
      <c r="D27" s="22"/>
      <c r="E27" s="30" t="str">
        <f t="shared" ref="E27:N27" si="12">IF(E26&gt;=90,"A",IF(E26&gt;=80,"B",IF(E26&gt;=70,"C",IF(E26&gt;=60,"D","F"))))</f>
        <v>A</v>
      </c>
      <c r="F27" s="30" t="str">
        <f t="shared" si="12"/>
        <v>A</v>
      </c>
      <c r="G27" s="30" t="str">
        <f t="shared" si="12"/>
        <v>A</v>
      </c>
      <c r="H27" s="30" t="str">
        <f t="shared" si="12"/>
        <v>A</v>
      </c>
      <c r="I27" s="30" t="str">
        <f t="shared" si="12"/>
        <v>A</v>
      </c>
      <c r="J27" s="30" t="str">
        <f t="shared" si="12"/>
        <v>A</v>
      </c>
      <c r="K27" s="30" t="str">
        <f t="shared" si="12"/>
        <v>A</v>
      </c>
      <c r="L27" s="30" t="str">
        <f t="shared" si="12"/>
        <v>A</v>
      </c>
      <c r="M27" s="30" t="str">
        <f t="shared" si="12"/>
        <v>A</v>
      </c>
      <c r="N27" s="30" t="str">
        <f t="shared" si="12"/>
        <v>A</v>
      </c>
      <c r="O27" s="30" t="str">
        <f t="shared" si="6"/>
        <v>A</v>
      </c>
      <c r="P27" s="58"/>
    </row>
    <row r="28" spans="1:16" s="5" customFormat="1" ht="13.5" customHeight="1" x14ac:dyDescent="0.3">
      <c r="A28" s="14">
        <v>13</v>
      </c>
      <c r="B28" s="17" t="s">
        <v>176</v>
      </c>
      <c r="C28" s="2" t="s">
        <v>551</v>
      </c>
      <c r="D28" s="22" t="s">
        <v>376</v>
      </c>
      <c r="E28" s="18">
        <v>100</v>
      </c>
      <c r="F28" s="60">
        <v>0</v>
      </c>
      <c r="G28" s="18">
        <v>88</v>
      </c>
      <c r="H28" s="18">
        <v>98</v>
      </c>
      <c r="I28" s="18">
        <v>100</v>
      </c>
      <c r="J28" s="18">
        <v>100</v>
      </c>
      <c r="K28" s="18">
        <v>99</v>
      </c>
      <c r="L28" s="18">
        <v>99</v>
      </c>
      <c r="M28" s="18">
        <v>100</v>
      </c>
      <c r="N28" s="18">
        <v>100</v>
      </c>
      <c r="O28" s="30">
        <v>98</v>
      </c>
      <c r="P28" s="58">
        <f>AVERAGE(E28,G28:O28)</f>
        <v>98.2</v>
      </c>
    </row>
    <row r="29" spans="1:16" s="5" customFormat="1" ht="13.5" customHeight="1" x14ac:dyDescent="0.3">
      <c r="A29" s="14"/>
      <c r="B29" s="17"/>
      <c r="C29" s="2"/>
      <c r="D29" s="22"/>
      <c r="E29" s="30" t="str">
        <f>IF(E28&gt;=90,"A",IF(E28&gt;=80,"B",IF(E28&gt;=70,"C",IF(E28&gt;=60,"D","F"))))</f>
        <v>A</v>
      </c>
      <c r="F29" s="61"/>
      <c r="G29" s="30" t="str">
        <f t="shared" ref="G29:N29" si="13">IF(G28&gt;=90,"A",IF(G28&gt;=80,"B",IF(G28&gt;=70,"C",IF(G28&gt;=60,"D","F"))))</f>
        <v>B</v>
      </c>
      <c r="H29" s="30" t="str">
        <f t="shared" si="13"/>
        <v>A</v>
      </c>
      <c r="I29" s="30" t="str">
        <f t="shared" si="13"/>
        <v>A</v>
      </c>
      <c r="J29" s="30" t="str">
        <f t="shared" si="13"/>
        <v>A</v>
      </c>
      <c r="K29" s="30" t="str">
        <f t="shared" si="13"/>
        <v>A</v>
      </c>
      <c r="L29" s="30" t="str">
        <f t="shared" si="13"/>
        <v>A</v>
      </c>
      <c r="M29" s="30" t="str">
        <f t="shared" si="13"/>
        <v>A</v>
      </c>
      <c r="N29" s="30" t="str">
        <f t="shared" si="13"/>
        <v>A</v>
      </c>
      <c r="O29" s="30" t="str">
        <f t="shared" si="6"/>
        <v>A</v>
      </c>
      <c r="P29" s="58"/>
    </row>
    <row r="30" spans="1:16" s="5" customFormat="1" ht="13.5" customHeight="1" x14ac:dyDescent="0.3">
      <c r="A30" s="14">
        <v>14</v>
      </c>
      <c r="B30" s="17" t="s">
        <v>10</v>
      </c>
      <c r="C30" s="2" t="s">
        <v>552</v>
      </c>
      <c r="D30" s="22" t="s">
        <v>375</v>
      </c>
      <c r="E30" s="18">
        <v>74</v>
      </c>
      <c r="F30" s="18">
        <v>77</v>
      </c>
      <c r="G30" s="18">
        <v>78</v>
      </c>
      <c r="H30" s="18">
        <v>81</v>
      </c>
      <c r="I30" s="18">
        <v>86</v>
      </c>
      <c r="J30" s="18">
        <v>95</v>
      </c>
      <c r="K30" s="18">
        <v>97</v>
      </c>
      <c r="L30" s="18">
        <v>99</v>
      </c>
      <c r="M30" s="18">
        <v>83</v>
      </c>
      <c r="N30" s="18">
        <v>92</v>
      </c>
      <c r="O30" s="30">
        <v>98</v>
      </c>
      <c r="P30" s="58">
        <f t="shared" si="1"/>
        <v>87.272727272727266</v>
      </c>
    </row>
    <row r="31" spans="1:16" s="5" customFormat="1" ht="13.5" customHeight="1" x14ac:dyDescent="0.3">
      <c r="A31" s="14"/>
      <c r="B31" s="17"/>
      <c r="C31" s="2"/>
      <c r="D31" s="22"/>
      <c r="E31" s="30" t="str">
        <f t="shared" ref="E31:N31" si="14">IF(E30&gt;=90,"A",IF(E30&gt;=80,"B",IF(E30&gt;=70,"C",IF(E30&gt;=60,"D","F"))))</f>
        <v>C</v>
      </c>
      <c r="F31" s="30" t="str">
        <f t="shared" si="14"/>
        <v>C</v>
      </c>
      <c r="G31" s="30" t="str">
        <f t="shared" si="14"/>
        <v>C</v>
      </c>
      <c r="H31" s="30" t="str">
        <f t="shared" si="14"/>
        <v>B</v>
      </c>
      <c r="I31" s="30" t="str">
        <f t="shared" si="14"/>
        <v>B</v>
      </c>
      <c r="J31" s="30" t="str">
        <f t="shared" si="14"/>
        <v>A</v>
      </c>
      <c r="K31" s="30" t="str">
        <f t="shared" si="14"/>
        <v>A</v>
      </c>
      <c r="L31" s="30" t="str">
        <f t="shared" si="14"/>
        <v>A</v>
      </c>
      <c r="M31" s="30" t="str">
        <f t="shared" si="14"/>
        <v>B</v>
      </c>
      <c r="N31" s="30" t="str">
        <f t="shared" si="14"/>
        <v>A</v>
      </c>
      <c r="O31" s="30" t="str">
        <f t="shared" si="6"/>
        <v>A</v>
      </c>
      <c r="P31" s="58"/>
    </row>
    <row r="32" spans="1:16" s="5" customFormat="1" ht="13.5" customHeight="1" x14ac:dyDescent="0.3">
      <c r="A32" s="14">
        <v>15</v>
      </c>
      <c r="B32" s="17" t="s">
        <v>11</v>
      </c>
      <c r="C32" s="2" t="s">
        <v>553</v>
      </c>
      <c r="D32" s="22" t="s">
        <v>376</v>
      </c>
      <c r="E32" s="30">
        <v>76</v>
      </c>
      <c r="F32" s="30">
        <v>81</v>
      </c>
      <c r="G32" s="30">
        <v>80</v>
      </c>
      <c r="H32" s="18">
        <v>83</v>
      </c>
      <c r="I32" s="30">
        <v>84</v>
      </c>
      <c r="J32" s="30">
        <v>94</v>
      </c>
      <c r="K32" s="30">
        <v>100</v>
      </c>
      <c r="L32" s="30">
        <v>99</v>
      </c>
      <c r="M32" s="30">
        <v>100</v>
      </c>
      <c r="N32" s="30">
        <v>100</v>
      </c>
      <c r="O32" s="30">
        <v>100</v>
      </c>
      <c r="P32" s="58">
        <f t="shared" si="1"/>
        <v>90.63636363636364</v>
      </c>
    </row>
    <row r="33" spans="1:16" s="5" customFormat="1" ht="13.5" customHeight="1" x14ac:dyDescent="0.3">
      <c r="A33" s="14"/>
      <c r="B33" s="17"/>
      <c r="C33" s="2"/>
      <c r="D33" s="22"/>
      <c r="E33" s="30" t="str">
        <f t="shared" ref="E33:N33" si="15">IF(E32&gt;=90,"A",IF(E32&gt;=80,"B",IF(E32&gt;=70,"C",IF(E32&gt;=60,"D","F"))))</f>
        <v>C</v>
      </c>
      <c r="F33" s="30" t="str">
        <f t="shared" si="15"/>
        <v>B</v>
      </c>
      <c r="G33" s="30" t="str">
        <f t="shared" si="15"/>
        <v>B</v>
      </c>
      <c r="H33" s="30" t="str">
        <f t="shared" si="15"/>
        <v>B</v>
      </c>
      <c r="I33" s="30" t="str">
        <f t="shared" si="15"/>
        <v>B</v>
      </c>
      <c r="J33" s="30" t="str">
        <f t="shared" si="15"/>
        <v>A</v>
      </c>
      <c r="K33" s="30" t="str">
        <f t="shared" si="15"/>
        <v>A</v>
      </c>
      <c r="L33" s="30" t="str">
        <f t="shared" si="15"/>
        <v>A</v>
      </c>
      <c r="M33" s="30" t="str">
        <f t="shared" si="15"/>
        <v>A</v>
      </c>
      <c r="N33" s="30" t="str">
        <f t="shared" si="15"/>
        <v>A</v>
      </c>
      <c r="O33" s="30" t="str">
        <f t="shared" si="6"/>
        <v>A</v>
      </c>
      <c r="P33" s="58"/>
    </row>
    <row r="34" spans="1:16" s="5" customFormat="1" ht="13.5" customHeight="1" x14ac:dyDescent="0.3">
      <c r="A34" s="14">
        <v>16</v>
      </c>
      <c r="B34" s="17" t="s">
        <v>177</v>
      </c>
      <c r="C34" s="2" t="s">
        <v>554</v>
      </c>
      <c r="D34" s="22" t="s">
        <v>375</v>
      </c>
      <c r="E34" s="30">
        <v>63</v>
      </c>
      <c r="F34" s="30">
        <v>80</v>
      </c>
      <c r="G34" s="30">
        <v>59</v>
      </c>
      <c r="H34" s="30">
        <v>68</v>
      </c>
      <c r="I34" s="30">
        <v>66</v>
      </c>
      <c r="J34" s="30">
        <v>91</v>
      </c>
      <c r="K34" s="30">
        <v>98</v>
      </c>
      <c r="L34" s="30">
        <v>100</v>
      </c>
      <c r="M34" s="30">
        <v>83</v>
      </c>
      <c r="N34" s="30">
        <v>94</v>
      </c>
      <c r="O34" s="30">
        <v>100</v>
      </c>
      <c r="P34" s="58">
        <f t="shared" si="1"/>
        <v>82</v>
      </c>
    </row>
    <row r="35" spans="1:16" s="5" customFormat="1" ht="13.5" customHeight="1" x14ac:dyDescent="0.3">
      <c r="A35" s="14"/>
      <c r="B35" s="17"/>
      <c r="C35" s="2"/>
      <c r="D35" s="22"/>
      <c r="E35" s="30" t="str">
        <f t="shared" ref="E35:N35" si="16">IF(E34&gt;=90,"A",IF(E34&gt;=80,"B",IF(E34&gt;=70,"C",IF(E34&gt;=60,"D","F"))))</f>
        <v>D</v>
      </c>
      <c r="F35" s="30" t="str">
        <f t="shared" si="16"/>
        <v>B</v>
      </c>
      <c r="G35" s="30" t="str">
        <f t="shared" si="16"/>
        <v>F</v>
      </c>
      <c r="H35" s="30" t="str">
        <f t="shared" si="16"/>
        <v>D</v>
      </c>
      <c r="I35" s="30" t="str">
        <f t="shared" si="16"/>
        <v>D</v>
      </c>
      <c r="J35" s="30" t="str">
        <f t="shared" si="16"/>
        <v>A</v>
      </c>
      <c r="K35" s="30" t="str">
        <f t="shared" si="16"/>
        <v>A</v>
      </c>
      <c r="L35" s="30" t="str">
        <f t="shared" si="16"/>
        <v>A</v>
      </c>
      <c r="M35" s="30" t="str">
        <f t="shared" si="16"/>
        <v>B</v>
      </c>
      <c r="N35" s="30" t="str">
        <f t="shared" si="16"/>
        <v>A</v>
      </c>
      <c r="O35" s="30" t="str">
        <f t="shared" si="6"/>
        <v>A</v>
      </c>
      <c r="P35" s="58"/>
    </row>
    <row r="36" spans="1:16" s="5" customFormat="1" ht="13.5" customHeight="1" x14ac:dyDescent="0.3">
      <c r="A36" s="14">
        <v>17</v>
      </c>
      <c r="B36" s="17" t="s">
        <v>178</v>
      </c>
      <c r="C36" s="2" t="s">
        <v>555</v>
      </c>
      <c r="D36" s="22" t="s">
        <v>376</v>
      </c>
      <c r="E36" s="18">
        <v>83</v>
      </c>
      <c r="F36" s="18">
        <v>90</v>
      </c>
      <c r="G36" s="18">
        <v>83</v>
      </c>
      <c r="H36" s="18">
        <v>96</v>
      </c>
      <c r="I36" s="18">
        <v>93</v>
      </c>
      <c r="J36" s="18">
        <v>95</v>
      </c>
      <c r="K36" s="18">
        <v>98</v>
      </c>
      <c r="L36" s="18">
        <v>99</v>
      </c>
      <c r="M36" s="18">
        <v>96</v>
      </c>
      <c r="N36" s="18">
        <v>100</v>
      </c>
      <c r="O36" s="30">
        <v>98</v>
      </c>
      <c r="P36" s="58">
        <f t="shared" si="1"/>
        <v>93.727272727272734</v>
      </c>
    </row>
    <row r="37" spans="1:16" s="5" customFormat="1" ht="13.5" customHeight="1" x14ac:dyDescent="0.3">
      <c r="A37" s="14"/>
      <c r="B37" s="17"/>
      <c r="C37" s="2"/>
      <c r="D37" s="22"/>
      <c r="E37" s="30" t="str">
        <f t="shared" ref="E37:N37" si="17">IF(E36&gt;=90,"A",IF(E36&gt;=80,"B",IF(E36&gt;=70,"C",IF(E36&gt;=60,"D","F"))))</f>
        <v>B</v>
      </c>
      <c r="F37" s="30" t="str">
        <f t="shared" si="17"/>
        <v>A</v>
      </c>
      <c r="G37" s="30" t="str">
        <f t="shared" si="17"/>
        <v>B</v>
      </c>
      <c r="H37" s="30" t="str">
        <f t="shared" si="17"/>
        <v>A</v>
      </c>
      <c r="I37" s="30" t="str">
        <f t="shared" si="17"/>
        <v>A</v>
      </c>
      <c r="J37" s="30" t="str">
        <f t="shared" si="17"/>
        <v>A</v>
      </c>
      <c r="K37" s="30" t="str">
        <f t="shared" si="17"/>
        <v>A</v>
      </c>
      <c r="L37" s="30" t="str">
        <f t="shared" si="17"/>
        <v>A</v>
      </c>
      <c r="M37" s="30" t="str">
        <f t="shared" si="17"/>
        <v>A</v>
      </c>
      <c r="N37" s="30" t="str">
        <f t="shared" si="17"/>
        <v>A</v>
      </c>
      <c r="O37" s="30" t="str">
        <f t="shared" si="6"/>
        <v>A</v>
      </c>
      <c r="P37" s="58"/>
    </row>
    <row r="38" spans="1:16" s="5" customFormat="1" ht="13.5" customHeight="1" x14ac:dyDescent="0.3">
      <c r="A38" s="14">
        <v>18</v>
      </c>
      <c r="B38" s="17" t="s">
        <v>179</v>
      </c>
      <c r="C38" s="2" t="s">
        <v>556</v>
      </c>
      <c r="D38" s="22" t="s">
        <v>375</v>
      </c>
      <c r="E38" s="18">
        <v>81</v>
      </c>
      <c r="F38" s="18">
        <v>72</v>
      </c>
      <c r="G38" s="18">
        <v>92</v>
      </c>
      <c r="H38" s="18">
        <v>84</v>
      </c>
      <c r="I38" s="18">
        <v>89</v>
      </c>
      <c r="J38" s="18">
        <v>93</v>
      </c>
      <c r="K38" s="18">
        <v>100</v>
      </c>
      <c r="L38" s="18">
        <v>100</v>
      </c>
      <c r="M38" s="18">
        <v>94</v>
      </c>
      <c r="N38" s="18">
        <v>100</v>
      </c>
      <c r="O38" s="30">
        <v>99</v>
      </c>
      <c r="P38" s="58">
        <f t="shared" si="1"/>
        <v>91.272727272727266</v>
      </c>
    </row>
    <row r="39" spans="1:16" s="5" customFormat="1" ht="13.5" customHeight="1" x14ac:dyDescent="0.3">
      <c r="A39" s="14"/>
      <c r="B39" s="17"/>
      <c r="C39" s="2"/>
      <c r="D39" s="22"/>
      <c r="E39" s="30" t="str">
        <f t="shared" ref="E39:N39" si="18">IF(E38&gt;=90,"A",IF(E38&gt;=80,"B",IF(E38&gt;=70,"C",IF(E38&gt;=60,"D","F"))))</f>
        <v>B</v>
      </c>
      <c r="F39" s="30" t="str">
        <f t="shared" si="18"/>
        <v>C</v>
      </c>
      <c r="G39" s="30" t="str">
        <f t="shared" si="18"/>
        <v>A</v>
      </c>
      <c r="H39" s="30" t="str">
        <f t="shared" si="18"/>
        <v>B</v>
      </c>
      <c r="I39" s="30" t="str">
        <f t="shared" si="18"/>
        <v>B</v>
      </c>
      <c r="J39" s="30" t="str">
        <f t="shared" si="18"/>
        <v>A</v>
      </c>
      <c r="K39" s="30" t="str">
        <f t="shared" si="18"/>
        <v>A</v>
      </c>
      <c r="L39" s="30" t="str">
        <f t="shared" si="18"/>
        <v>A</v>
      </c>
      <c r="M39" s="30" t="str">
        <f t="shared" si="18"/>
        <v>A</v>
      </c>
      <c r="N39" s="30" t="str">
        <f t="shared" si="18"/>
        <v>A</v>
      </c>
      <c r="O39" s="30" t="str">
        <f t="shared" si="6"/>
        <v>A</v>
      </c>
      <c r="P39" s="58"/>
    </row>
    <row r="40" spans="1:16" s="5" customFormat="1" ht="13.5" customHeight="1" x14ac:dyDescent="0.3">
      <c r="A40" s="14">
        <v>19</v>
      </c>
      <c r="B40" s="17" t="s">
        <v>180</v>
      </c>
      <c r="C40" s="2" t="s">
        <v>557</v>
      </c>
      <c r="D40" s="22" t="s">
        <v>375</v>
      </c>
      <c r="E40" s="18">
        <v>90</v>
      </c>
      <c r="F40" s="18">
        <v>94</v>
      </c>
      <c r="G40" s="18">
        <v>88</v>
      </c>
      <c r="H40" s="18">
        <v>89</v>
      </c>
      <c r="I40" s="18">
        <v>94</v>
      </c>
      <c r="J40" s="18">
        <v>97</v>
      </c>
      <c r="K40" s="18">
        <v>100</v>
      </c>
      <c r="L40" s="18">
        <v>99</v>
      </c>
      <c r="M40" s="18">
        <v>90</v>
      </c>
      <c r="N40" s="18">
        <v>98</v>
      </c>
      <c r="O40" s="30">
        <v>100</v>
      </c>
      <c r="P40" s="58">
        <f t="shared" si="1"/>
        <v>94.454545454545453</v>
      </c>
    </row>
    <row r="41" spans="1:16" s="5" customFormat="1" ht="13.5" customHeight="1" x14ac:dyDescent="0.3">
      <c r="A41" s="14"/>
      <c r="B41" s="17"/>
      <c r="C41" s="2"/>
      <c r="D41" s="22"/>
      <c r="E41" s="30" t="str">
        <f t="shared" ref="E41:N41" si="19">IF(E40&gt;=90,"A",IF(E40&gt;=80,"B",IF(E40&gt;=70,"C",IF(E40&gt;=60,"D","F"))))</f>
        <v>A</v>
      </c>
      <c r="F41" s="30" t="str">
        <f t="shared" si="19"/>
        <v>A</v>
      </c>
      <c r="G41" s="30" t="str">
        <f t="shared" si="19"/>
        <v>B</v>
      </c>
      <c r="H41" s="30" t="str">
        <f t="shared" si="19"/>
        <v>B</v>
      </c>
      <c r="I41" s="30" t="str">
        <f t="shared" si="19"/>
        <v>A</v>
      </c>
      <c r="J41" s="30" t="str">
        <f t="shared" si="19"/>
        <v>A</v>
      </c>
      <c r="K41" s="30" t="str">
        <f t="shared" si="19"/>
        <v>A</v>
      </c>
      <c r="L41" s="30" t="str">
        <f t="shared" si="19"/>
        <v>A</v>
      </c>
      <c r="M41" s="30" t="str">
        <f t="shared" si="19"/>
        <v>A</v>
      </c>
      <c r="N41" s="30" t="str">
        <f t="shared" si="19"/>
        <v>A</v>
      </c>
      <c r="O41" s="30" t="str">
        <f t="shared" si="6"/>
        <v>A</v>
      </c>
      <c r="P41" s="58"/>
    </row>
    <row r="42" spans="1:16" s="5" customFormat="1" ht="13.5" customHeight="1" x14ac:dyDescent="0.3">
      <c r="A42" s="14">
        <v>20</v>
      </c>
      <c r="B42" s="17" t="s">
        <v>181</v>
      </c>
      <c r="C42" s="2" t="s">
        <v>558</v>
      </c>
      <c r="D42" s="22" t="s">
        <v>375</v>
      </c>
      <c r="E42" s="18">
        <v>72</v>
      </c>
      <c r="F42" s="18">
        <v>81</v>
      </c>
      <c r="G42" s="18">
        <v>50</v>
      </c>
      <c r="H42" s="18">
        <v>68</v>
      </c>
      <c r="I42" s="18">
        <v>68</v>
      </c>
      <c r="J42" s="18">
        <v>87</v>
      </c>
      <c r="K42" s="18">
        <v>100</v>
      </c>
      <c r="L42" s="18">
        <v>98</v>
      </c>
      <c r="M42" s="18">
        <v>90</v>
      </c>
      <c r="N42" s="18">
        <v>98</v>
      </c>
      <c r="O42" s="30">
        <v>100</v>
      </c>
      <c r="P42" s="58">
        <f t="shared" si="1"/>
        <v>82.909090909090907</v>
      </c>
    </row>
    <row r="43" spans="1:16" s="5" customFormat="1" ht="13.5" customHeight="1" x14ac:dyDescent="0.3">
      <c r="A43" s="14"/>
      <c r="B43" s="17"/>
      <c r="C43" s="2"/>
      <c r="D43" s="22"/>
      <c r="E43" s="30" t="str">
        <f t="shared" ref="E43:N43" si="20">IF(E42&gt;=90,"A",IF(E42&gt;=80,"B",IF(E42&gt;=70,"C",IF(E42&gt;=60,"D","F"))))</f>
        <v>C</v>
      </c>
      <c r="F43" s="30" t="str">
        <f t="shared" si="20"/>
        <v>B</v>
      </c>
      <c r="G43" s="30" t="str">
        <f t="shared" si="20"/>
        <v>F</v>
      </c>
      <c r="H43" s="30" t="str">
        <f t="shared" si="20"/>
        <v>D</v>
      </c>
      <c r="I43" s="30" t="str">
        <f t="shared" si="20"/>
        <v>D</v>
      </c>
      <c r="J43" s="30" t="str">
        <f t="shared" si="20"/>
        <v>B</v>
      </c>
      <c r="K43" s="30" t="str">
        <f t="shared" si="20"/>
        <v>A</v>
      </c>
      <c r="L43" s="30" t="str">
        <f t="shared" si="20"/>
        <v>A</v>
      </c>
      <c r="M43" s="30" t="str">
        <f t="shared" si="20"/>
        <v>A</v>
      </c>
      <c r="N43" s="30" t="str">
        <f t="shared" si="20"/>
        <v>A</v>
      </c>
      <c r="O43" s="30" t="str">
        <f t="shared" si="6"/>
        <v>A</v>
      </c>
      <c r="P43" s="58"/>
    </row>
    <row r="44" spans="1:16" s="5" customFormat="1" ht="13.5" customHeight="1" x14ac:dyDescent="0.3">
      <c r="A44" s="14">
        <v>21</v>
      </c>
      <c r="B44" s="17" t="s">
        <v>182</v>
      </c>
      <c r="C44" s="2" t="s">
        <v>559</v>
      </c>
      <c r="D44" s="22" t="s">
        <v>376</v>
      </c>
      <c r="E44" s="30">
        <v>79</v>
      </c>
      <c r="F44" s="30">
        <v>85</v>
      </c>
      <c r="G44" s="30">
        <v>79</v>
      </c>
      <c r="H44" s="30">
        <v>81</v>
      </c>
      <c r="I44" s="30">
        <v>79</v>
      </c>
      <c r="J44" s="30">
        <v>97</v>
      </c>
      <c r="K44" s="30">
        <v>100</v>
      </c>
      <c r="L44" s="30">
        <v>98</v>
      </c>
      <c r="M44" s="30">
        <v>91</v>
      </c>
      <c r="N44" s="30">
        <v>95</v>
      </c>
      <c r="O44" s="30">
        <v>98</v>
      </c>
      <c r="P44" s="58">
        <f t="shared" si="1"/>
        <v>89.272727272727266</v>
      </c>
    </row>
    <row r="45" spans="1:16" s="5" customFormat="1" ht="13.5" customHeight="1" x14ac:dyDescent="0.3">
      <c r="A45" s="14"/>
      <c r="B45" s="17"/>
      <c r="C45" s="2"/>
      <c r="D45" s="22"/>
      <c r="E45" s="30" t="str">
        <f t="shared" ref="E45:N45" si="21">IF(E44&gt;=90,"A",IF(E44&gt;=80,"B",IF(E44&gt;=70,"C",IF(E44&gt;=60,"D","F"))))</f>
        <v>C</v>
      </c>
      <c r="F45" s="30" t="str">
        <f t="shared" si="21"/>
        <v>B</v>
      </c>
      <c r="G45" s="30" t="str">
        <f t="shared" si="21"/>
        <v>C</v>
      </c>
      <c r="H45" s="30" t="str">
        <f t="shared" si="21"/>
        <v>B</v>
      </c>
      <c r="I45" s="30" t="str">
        <f t="shared" si="21"/>
        <v>C</v>
      </c>
      <c r="J45" s="30" t="str">
        <f t="shared" si="21"/>
        <v>A</v>
      </c>
      <c r="K45" s="30" t="str">
        <f t="shared" si="21"/>
        <v>A</v>
      </c>
      <c r="L45" s="30" t="str">
        <f t="shared" si="21"/>
        <v>A</v>
      </c>
      <c r="M45" s="30" t="str">
        <f t="shared" si="21"/>
        <v>A</v>
      </c>
      <c r="N45" s="30" t="str">
        <f t="shared" si="21"/>
        <v>A</v>
      </c>
      <c r="O45" s="30" t="str">
        <f t="shared" si="6"/>
        <v>A</v>
      </c>
      <c r="P45" s="58"/>
    </row>
    <row r="46" spans="1:16" s="5" customFormat="1" ht="13.5" customHeight="1" x14ac:dyDescent="0.3">
      <c r="A46" s="14">
        <v>22</v>
      </c>
      <c r="B46" s="17" t="s">
        <v>183</v>
      </c>
      <c r="C46" s="2" t="s">
        <v>560</v>
      </c>
      <c r="D46" s="22" t="s">
        <v>376</v>
      </c>
      <c r="E46" s="30">
        <v>80</v>
      </c>
      <c r="F46" s="30">
        <v>86</v>
      </c>
      <c r="G46" s="30">
        <v>81</v>
      </c>
      <c r="H46" s="30">
        <v>92</v>
      </c>
      <c r="I46" s="30">
        <v>82</v>
      </c>
      <c r="J46" s="30">
        <v>90</v>
      </c>
      <c r="K46" s="30">
        <v>100</v>
      </c>
      <c r="L46" s="30">
        <v>100</v>
      </c>
      <c r="M46" s="30">
        <v>98</v>
      </c>
      <c r="N46" s="30">
        <v>100</v>
      </c>
      <c r="O46" s="30">
        <v>100</v>
      </c>
      <c r="P46" s="58">
        <f t="shared" si="1"/>
        <v>91.727272727272734</v>
      </c>
    </row>
    <row r="47" spans="1:16" s="5" customFormat="1" ht="13.5" customHeight="1" x14ac:dyDescent="0.3">
      <c r="A47" s="14"/>
      <c r="B47" s="17"/>
      <c r="C47" s="2"/>
      <c r="D47" s="22"/>
      <c r="E47" s="30" t="str">
        <f t="shared" ref="E47:N47" si="22">IF(E46&gt;=90,"A",IF(E46&gt;=80,"B",IF(E46&gt;=70,"C",IF(E46&gt;=60,"D","F"))))</f>
        <v>B</v>
      </c>
      <c r="F47" s="30" t="str">
        <f t="shared" si="22"/>
        <v>B</v>
      </c>
      <c r="G47" s="30" t="str">
        <f t="shared" si="22"/>
        <v>B</v>
      </c>
      <c r="H47" s="30" t="str">
        <f t="shared" si="22"/>
        <v>A</v>
      </c>
      <c r="I47" s="30" t="str">
        <f t="shared" si="22"/>
        <v>B</v>
      </c>
      <c r="J47" s="30" t="str">
        <f t="shared" si="22"/>
        <v>A</v>
      </c>
      <c r="K47" s="30" t="str">
        <f t="shared" si="22"/>
        <v>A</v>
      </c>
      <c r="L47" s="30" t="str">
        <f t="shared" si="22"/>
        <v>A</v>
      </c>
      <c r="M47" s="30" t="str">
        <f t="shared" si="22"/>
        <v>A</v>
      </c>
      <c r="N47" s="30" t="str">
        <f t="shared" si="22"/>
        <v>A</v>
      </c>
      <c r="O47" s="30" t="str">
        <f t="shared" si="6"/>
        <v>A</v>
      </c>
      <c r="P47" s="58"/>
    </row>
    <row r="48" spans="1:16" s="5" customFormat="1" ht="13.5" customHeight="1" x14ac:dyDescent="0.3">
      <c r="A48" s="14">
        <v>23</v>
      </c>
      <c r="B48" s="17" t="s">
        <v>184</v>
      </c>
      <c r="C48" s="2" t="s">
        <v>561</v>
      </c>
      <c r="D48" s="22" t="s">
        <v>376</v>
      </c>
      <c r="E48" s="18">
        <v>96</v>
      </c>
      <c r="F48" s="61">
        <v>0</v>
      </c>
      <c r="G48" s="18">
        <v>89</v>
      </c>
      <c r="H48" s="18">
        <v>82</v>
      </c>
      <c r="I48" s="18">
        <v>84</v>
      </c>
      <c r="J48" s="18">
        <v>100</v>
      </c>
      <c r="K48" s="18">
        <v>100</v>
      </c>
      <c r="L48" s="18">
        <v>100</v>
      </c>
      <c r="M48" s="18">
        <v>99</v>
      </c>
      <c r="N48" s="18">
        <v>100</v>
      </c>
      <c r="O48" s="30">
        <v>100</v>
      </c>
      <c r="P48" s="58">
        <f t="shared" si="1"/>
        <v>86.36363636363636</v>
      </c>
    </row>
    <row r="49" spans="1:16" s="5" customFormat="1" ht="13.5" customHeight="1" x14ac:dyDescent="0.3">
      <c r="A49" s="14"/>
      <c r="B49" s="17"/>
      <c r="C49" s="2"/>
      <c r="D49" s="22"/>
      <c r="E49" s="30" t="str">
        <f t="shared" ref="E49:N49" si="23">IF(E48&gt;=90,"A",IF(E48&gt;=80,"B",IF(E48&gt;=70,"C",IF(E48&gt;=60,"D","F"))))</f>
        <v>A</v>
      </c>
      <c r="F49" s="61" t="s">
        <v>429</v>
      </c>
      <c r="G49" s="30" t="str">
        <f t="shared" si="23"/>
        <v>B</v>
      </c>
      <c r="H49" s="30" t="str">
        <f t="shared" si="23"/>
        <v>B</v>
      </c>
      <c r="I49" s="30" t="str">
        <f t="shared" si="23"/>
        <v>B</v>
      </c>
      <c r="J49" s="30" t="str">
        <f t="shared" si="23"/>
        <v>A</v>
      </c>
      <c r="K49" s="30" t="str">
        <f t="shared" si="23"/>
        <v>A</v>
      </c>
      <c r="L49" s="30" t="str">
        <f t="shared" si="23"/>
        <v>A</v>
      </c>
      <c r="M49" s="30" t="str">
        <f t="shared" si="23"/>
        <v>A</v>
      </c>
      <c r="N49" s="30" t="str">
        <f t="shared" si="23"/>
        <v>A</v>
      </c>
      <c r="O49" s="30" t="str">
        <f t="shared" si="6"/>
        <v>A</v>
      </c>
      <c r="P49" s="58"/>
    </row>
    <row r="50" spans="1:16" s="5" customFormat="1" ht="13.5" customHeight="1" x14ac:dyDescent="0.3">
      <c r="A50" s="14">
        <v>24</v>
      </c>
      <c r="B50" s="17" t="s">
        <v>185</v>
      </c>
      <c r="C50" s="2" t="s">
        <v>562</v>
      </c>
      <c r="D50" s="10" t="s">
        <v>376</v>
      </c>
      <c r="E50" s="18">
        <v>78</v>
      </c>
      <c r="F50" s="30">
        <v>83</v>
      </c>
      <c r="G50" s="18">
        <v>78</v>
      </c>
      <c r="H50" s="18">
        <v>81</v>
      </c>
      <c r="I50" s="18">
        <v>81</v>
      </c>
      <c r="J50" s="18">
        <v>92</v>
      </c>
      <c r="K50" s="15">
        <v>99</v>
      </c>
      <c r="L50" s="15">
        <v>100</v>
      </c>
      <c r="M50" s="15">
        <v>91</v>
      </c>
      <c r="N50" s="15">
        <v>100</v>
      </c>
      <c r="O50" s="30">
        <v>98</v>
      </c>
      <c r="P50" s="58">
        <f t="shared" si="1"/>
        <v>89.181818181818187</v>
      </c>
    </row>
    <row r="51" spans="1:16" s="5" customFormat="1" ht="13.5" customHeight="1" x14ac:dyDescent="0.3">
      <c r="A51" s="14"/>
      <c r="B51" s="17"/>
      <c r="C51" s="2"/>
      <c r="D51" s="10"/>
      <c r="E51" s="30" t="str">
        <f t="shared" ref="E51:N51" si="24">IF(E50&gt;=90,"A",IF(E50&gt;=80,"B",IF(E50&gt;=70,"C",IF(E50&gt;=60,"D","F"))))</f>
        <v>C</v>
      </c>
      <c r="F51" s="30" t="str">
        <f t="shared" si="24"/>
        <v>B</v>
      </c>
      <c r="G51" s="30" t="str">
        <f t="shared" si="24"/>
        <v>C</v>
      </c>
      <c r="H51" s="30" t="str">
        <f t="shared" si="24"/>
        <v>B</v>
      </c>
      <c r="I51" s="30" t="str">
        <f t="shared" si="24"/>
        <v>B</v>
      </c>
      <c r="J51" s="30" t="str">
        <f t="shared" si="24"/>
        <v>A</v>
      </c>
      <c r="K51" s="30" t="str">
        <f t="shared" si="24"/>
        <v>A</v>
      </c>
      <c r="L51" s="30" t="str">
        <f t="shared" si="24"/>
        <v>A</v>
      </c>
      <c r="M51" s="30" t="str">
        <f t="shared" si="24"/>
        <v>A</v>
      </c>
      <c r="N51" s="30" t="str">
        <f t="shared" si="24"/>
        <v>A</v>
      </c>
      <c r="O51" s="30" t="str">
        <f t="shared" si="6"/>
        <v>A</v>
      </c>
      <c r="P51" s="58"/>
    </row>
    <row r="52" spans="1:16" s="5" customFormat="1" ht="13.5" customHeight="1" x14ac:dyDescent="0.3">
      <c r="A52" s="14">
        <v>25</v>
      </c>
      <c r="B52" s="17" t="s">
        <v>186</v>
      </c>
      <c r="C52" s="2" t="s">
        <v>563</v>
      </c>
      <c r="D52" s="10" t="s">
        <v>376</v>
      </c>
      <c r="E52" s="30">
        <v>76</v>
      </c>
      <c r="F52" s="30">
        <v>86</v>
      </c>
      <c r="G52" s="30">
        <v>79</v>
      </c>
      <c r="H52" s="30">
        <v>87</v>
      </c>
      <c r="I52" s="30">
        <v>78</v>
      </c>
      <c r="J52" s="30">
        <v>91</v>
      </c>
      <c r="K52" s="18">
        <v>98</v>
      </c>
      <c r="L52" s="18">
        <v>99</v>
      </c>
      <c r="M52" s="18">
        <v>100</v>
      </c>
      <c r="N52" s="18">
        <v>100</v>
      </c>
      <c r="O52" s="30">
        <v>98</v>
      </c>
      <c r="P52" s="58">
        <f t="shared" si="1"/>
        <v>90.181818181818187</v>
      </c>
    </row>
    <row r="53" spans="1:16" s="5" customFormat="1" ht="13.5" customHeight="1" x14ac:dyDescent="0.3">
      <c r="A53" s="14"/>
      <c r="B53" s="17"/>
      <c r="C53" s="17"/>
      <c r="D53" s="10"/>
      <c r="E53" s="30" t="str">
        <f t="shared" ref="E53:N53" si="25">IF(E52&gt;=90,"A",IF(E52&gt;=80,"B",IF(E52&gt;=70,"C",IF(E52&gt;=60,"D","F"))))</f>
        <v>C</v>
      </c>
      <c r="F53" s="30" t="str">
        <f t="shared" si="25"/>
        <v>B</v>
      </c>
      <c r="G53" s="30" t="str">
        <f t="shared" si="25"/>
        <v>C</v>
      </c>
      <c r="H53" s="30" t="str">
        <f t="shared" si="25"/>
        <v>B</v>
      </c>
      <c r="I53" s="30" t="str">
        <f t="shared" si="25"/>
        <v>C</v>
      </c>
      <c r="J53" s="30" t="str">
        <f t="shared" si="25"/>
        <v>A</v>
      </c>
      <c r="K53" s="30" t="str">
        <f t="shared" si="25"/>
        <v>A</v>
      </c>
      <c r="L53" s="30" t="str">
        <f t="shared" si="25"/>
        <v>A</v>
      </c>
      <c r="M53" s="30" t="str">
        <f t="shared" si="25"/>
        <v>A</v>
      </c>
      <c r="N53" s="30" t="str">
        <f t="shared" si="25"/>
        <v>A</v>
      </c>
      <c r="O53" s="30" t="str">
        <f t="shared" si="6"/>
        <v>A</v>
      </c>
      <c r="P53" s="58"/>
    </row>
  </sheetData>
  <sheetProtection formatCells="0" formatColumns="0" formatRows="0" insertColumns="0" insertRows="0" insertHyperlinks="0" deleteColumns="0" deleteRows="0" sort="0" autoFilter="0" pivotTables="0"/>
  <autoFilter ref="A1:D53" xr:uid="{00000000-0009-0000-0000-00000A000000}">
    <filterColumn colId="0" showButton="0"/>
  </autoFilter>
  <mergeCells count="1">
    <mergeCell ref="A1:B2"/>
  </mergeCells>
  <pageMargins left="0.23" right="0.17" top="0.36" bottom="0" header="0.17" footer="0.3"/>
  <pageSetup paperSize="9" orientation="landscape" r:id="rId1"/>
  <headerFooter>
    <oddFooter xml:space="preserve">&amp;C
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5"/>
  <sheetViews>
    <sheetView zoomScaleNormal="100" workbookViewId="0">
      <selection activeCell="D21" sqref="D21"/>
    </sheetView>
  </sheetViews>
  <sheetFormatPr defaultRowHeight="15" x14ac:dyDescent="0.25"/>
  <cols>
    <col min="1" max="1" width="5.28515625" style="13" customWidth="1"/>
    <col min="2" max="2" width="24.140625" style="28" customWidth="1"/>
    <col min="3" max="3" width="11.140625" style="28" bestFit="1" customWidth="1"/>
    <col min="4" max="4" width="4.85546875" style="7" customWidth="1"/>
    <col min="5" max="5" width="8.5703125" style="28" customWidth="1"/>
    <col min="6" max="6" width="9.140625" style="28" customWidth="1"/>
    <col min="7" max="7" width="12.42578125" style="28" bestFit="1" customWidth="1"/>
    <col min="8" max="8" width="8.28515625" style="28" customWidth="1"/>
    <col min="9" max="9" width="13.28515625" style="28" bestFit="1" customWidth="1"/>
    <col min="10" max="11" width="8.85546875" style="28" customWidth="1"/>
    <col min="12" max="12" width="9.140625" style="28" customWidth="1"/>
    <col min="13" max="13" width="8.7109375" style="28" customWidth="1"/>
    <col min="14" max="14" width="9.5703125" style="28" customWidth="1"/>
    <col min="15" max="15" width="10.28515625" style="28" customWidth="1"/>
    <col min="16" max="16384" width="9.140625" style="2"/>
  </cols>
  <sheetData>
    <row r="1" spans="1:16" ht="6" customHeight="1" x14ac:dyDescent="0.25">
      <c r="A1" s="85" t="s">
        <v>565</v>
      </c>
      <c r="B1" s="86"/>
      <c r="C1" s="80"/>
    </row>
    <row r="2" spans="1:16" ht="10.5" customHeight="1" x14ac:dyDescent="0.25">
      <c r="A2" s="87"/>
      <c r="B2" s="88"/>
      <c r="C2" s="80"/>
    </row>
    <row r="3" spans="1:16" ht="15.75" customHeight="1" x14ac:dyDescent="0.25">
      <c r="A3" s="23" t="s">
        <v>0</v>
      </c>
      <c r="B3" s="24" t="s">
        <v>1</v>
      </c>
      <c r="C3" s="24"/>
      <c r="D3" s="20" t="s">
        <v>2</v>
      </c>
      <c r="E3" s="29" t="s">
        <v>426</v>
      </c>
      <c r="F3" s="29" t="s">
        <v>427</v>
      </c>
      <c r="G3" s="29" t="s">
        <v>456</v>
      </c>
      <c r="H3" s="29" t="s">
        <v>423</v>
      </c>
      <c r="I3" s="29" t="s">
        <v>827</v>
      </c>
      <c r="J3" s="29" t="s">
        <v>431</v>
      </c>
      <c r="K3" s="29" t="s">
        <v>432</v>
      </c>
      <c r="L3" s="29" t="s">
        <v>445</v>
      </c>
      <c r="M3" s="29" t="s">
        <v>424</v>
      </c>
      <c r="N3" s="29" t="s">
        <v>425</v>
      </c>
      <c r="O3" s="29" t="s">
        <v>438</v>
      </c>
      <c r="P3" s="29" t="s">
        <v>428</v>
      </c>
    </row>
    <row r="4" spans="1:16" s="5" customFormat="1" ht="13.5" customHeight="1" x14ac:dyDescent="0.3">
      <c r="A4" s="14">
        <v>1</v>
      </c>
      <c r="B4" s="17" t="s">
        <v>187</v>
      </c>
      <c r="C4" s="2" t="s">
        <v>567</v>
      </c>
      <c r="D4" s="22" t="s">
        <v>376</v>
      </c>
      <c r="E4" s="18">
        <v>64</v>
      </c>
      <c r="F4" s="18">
        <v>81</v>
      </c>
      <c r="G4" s="18">
        <v>70</v>
      </c>
      <c r="H4" s="18">
        <v>70</v>
      </c>
      <c r="I4" s="18">
        <v>71</v>
      </c>
      <c r="J4" s="18">
        <v>91</v>
      </c>
      <c r="K4" s="18">
        <v>99</v>
      </c>
      <c r="L4" s="18">
        <v>100</v>
      </c>
      <c r="M4" s="18">
        <v>91</v>
      </c>
      <c r="N4" s="18">
        <v>100</v>
      </c>
      <c r="O4" s="30">
        <v>96</v>
      </c>
      <c r="P4" s="59">
        <f>AVERAGE(E4:O4)</f>
        <v>84.818181818181813</v>
      </c>
    </row>
    <row r="5" spans="1:16" s="5" customFormat="1" ht="13.5" customHeight="1" x14ac:dyDescent="0.3">
      <c r="A5" s="14"/>
      <c r="B5" s="17"/>
      <c r="D5" s="22"/>
      <c r="E5" s="30" t="str">
        <f t="shared" ref="E5:O5" si="0">IF(E4&gt;=90,"A",IF(E4&gt;=80,"B",IF(E4&gt;=70,"C",IF(E4&gt;=60,"D","F"))))</f>
        <v>D</v>
      </c>
      <c r="F5" s="30" t="str">
        <f t="shared" si="0"/>
        <v>B</v>
      </c>
      <c r="G5" s="30" t="str">
        <f t="shared" si="0"/>
        <v>C</v>
      </c>
      <c r="H5" s="30" t="str">
        <f t="shared" si="0"/>
        <v>C</v>
      </c>
      <c r="I5" s="30" t="str">
        <f t="shared" si="0"/>
        <v>C</v>
      </c>
      <c r="J5" s="30" t="str">
        <f t="shared" si="0"/>
        <v>A</v>
      </c>
      <c r="K5" s="30" t="str">
        <f t="shared" si="0"/>
        <v>A</v>
      </c>
      <c r="L5" s="30" t="str">
        <f t="shared" si="0"/>
        <v>A</v>
      </c>
      <c r="M5" s="30" t="str">
        <f t="shared" si="0"/>
        <v>A</v>
      </c>
      <c r="N5" s="30" t="str">
        <f t="shared" si="0"/>
        <v>A</v>
      </c>
      <c r="O5" s="30" t="str">
        <f t="shared" si="0"/>
        <v>A</v>
      </c>
      <c r="P5" s="59"/>
    </row>
    <row r="6" spans="1:16" s="5" customFormat="1" ht="13.5" customHeight="1" x14ac:dyDescent="0.3">
      <c r="A6" s="14">
        <v>2</v>
      </c>
      <c r="B6" s="17" t="s">
        <v>14</v>
      </c>
      <c r="C6" s="2" t="s">
        <v>566</v>
      </c>
      <c r="D6" s="22" t="s">
        <v>375</v>
      </c>
      <c r="E6" s="30">
        <v>80</v>
      </c>
      <c r="F6" s="30">
        <v>88</v>
      </c>
      <c r="G6" s="30">
        <v>70</v>
      </c>
      <c r="H6" s="30">
        <v>80</v>
      </c>
      <c r="I6" s="30">
        <v>80</v>
      </c>
      <c r="J6" s="30">
        <v>96</v>
      </c>
      <c r="K6" s="30">
        <v>98</v>
      </c>
      <c r="L6" s="30">
        <v>99</v>
      </c>
      <c r="M6" s="30">
        <v>92</v>
      </c>
      <c r="N6" s="30">
        <v>98</v>
      </c>
      <c r="O6" s="30">
        <v>100</v>
      </c>
      <c r="P6" s="59">
        <f t="shared" ref="P6:P54" si="1">AVERAGE(E6:O6)</f>
        <v>89.181818181818187</v>
      </c>
    </row>
    <row r="7" spans="1:16" s="5" customFormat="1" ht="13.5" customHeight="1" x14ac:dyDescent="0.3">
      <c r="A7" s="14"/>
      <c r="B7" s="17"/>
      <c r="C7" s="2"/>
      <c r="D7" s="22"/>
      <c r="E7" s="30" t="str">
        <f t="shared" ref="E7:O7" si="2">IF(E6&gt;=90,"A",IF(E6&gt;=80,"B",IF(E6&gt;=70,"C",IF(E6&gt;=60,"D","F"))))</f>
        <v>B</v>
      </c>
      <c r="F7" s="30" t="str">
        <f t="shared" si="2"/>
        <v>B</v>
      </c>
      <c r="G7" s="30" t="str">
        <f t="shared" si="2"/>
        <v>C</v>
      </c>
      <c r="H7" s="30" t="str">
        <f t="shared" si="2"/>
        <v>B</v>
      </c>
      <c r="I7" s="30" t="str">
        <f t="shared" si="2"/>
        <v>B</v>
      </c>
      <c r="J7" s="30" t="str">
        <f t="shared" si="2"/>
        <v>A</v>
      </c>
      <c r="K7" s="30" t="str">
        <f t="shared" si="2"/>
        <v>A</v>
      </c>
      <c r="L7" s="30" t="str">
        <f t="shared" si="2"/>
        <v>A</v>
      </c>
      <c r="M7" s="30" t="str">
        <f t="shared" si="2"/>
        <v>A</v>
      </c>
      <c r="N7" s="30" t="str">
        <f t="shared" si="2"/>
        <v>A</v>
      </c>
      <c r="O7" s="30" t="str">
        <f t="shared" si="2"/>
        <v>A</v>
      </c>
      <c r="P7" s="59"/>
    </row>
    <row r="8" spans="1:16" s="5" customFormat="1" ht="13.5" customHeight="1" x14ac:dyDescent="0.3">
      <c r="A8" s="14">
        <v>3</v>
      </c>
      <c r="B8" s="17" t="s">
        <v>188</v>
      </c>
      <c r="C8" s="2" t="s">
        <v>568</v>
      </c>
      <c r="D8" s="22" t="s">
        <v>375</v>
      </c>
      <c r="E8" s="30">
        <v>72</v>
      </c>
      <c r="F8" s="30">
        <v>68</v>
      </c>
      <c r="G8" s="30">
        <v>76</v>
      </c>
      <c r="H8" s="30">
        <v>82</v>
      </c>
      <c r="I8" s="30">
        <v>78</v>
      </c>
      <c r="J8" s="30">
        <v>84</v>
      </c>
      <c r="K8" s="30">
        <v>98</v>
      </c>
      <c r="L8" s="30">
        <v>99</v>
      </c>
      <c r="M8" s="30">
        <v>94</v>
      </c>
      <c r="N8" s="30">
        <v>100</v>
      </c>
      <c r="O8" s="30">
        <v>95</v>
      </c>
      <c r="P8" s="59">
        <f t="shared" si="1"/>
        <v>86</v>
      </c>
    </row>
    <row r="9" spans="1:16" s="5" customFormat="1" ht="13.5" customHeight="1" x14ac:dyDescent="0.3">
      <c r="A9" s="14"/>
      <c r="B9" s="17"/>
      <c r="C9" s="2"/>
      <c r="D9" s="22"/>
      <c r="E9" s="30" t="str">
        <f t="shared" ref="E9:O9" si="3">IF(E8&gt;=90,"A",IF(E8&gt;=80,"B",IF(E8&gt;=70,"C",IF(E8&gt;=60,"D","F"))))</f>
        <v>C</v>
      </c>
      <c r="F9" s="30" t="str">
        <f t="shared" si="3"/>
        <v>D</v>
      </c>
      <c r="G9" s="30" t="str">
        <f t="shared" si="3"/>
        <v>C</v>
      </c>
      <c r="H9" s="30" t="str">
        <f t="shared" si="3"/>
        <v>B</v>
      </c>
      <c r="I9" s="30" t="str">
        <f t="shared" si="3"/>
        <v>C</v>
      </c>
      <c r="J9" s="30" t="str">
        <f t="shared" si="3"/>
        <v>B</v>
      </c>
      <c r="K9" s="30" t="str">
        <f t="shared" si="3"/>
        <v>A</v>
      </c>
      <c r="L9" s="30" t="str">
        <f t="shared" si="3"/>
        <v>A</v>
      </c>
      <c r="M9" s="30" t="str">
        <f t="shared" si="3"/>
        <v>A</v>
      </c>
      <c r="N9" s="30" t="str">
        <f t="shared" si="3"/>
        <v>A</v>
      </c>
      <c r="O9" s="30" t="str">
        <f t="shared" si="3"/>
        <v>A</v>
      </c>
      <c r="P9" s="59"/>
    </row>
    <row r="10" spans="1:16" s="5" customFormat="1" ht="13.5" customHeight="1" x14ac:dyDescent="0.3">
      <c r="A10" s="14">
        <v>4</v>
      </c>
      <c r="B10" s="17" t="s">
        <v>189</v>
      </c>
      <c r="C10" s="2" t="s">
        <v>569</v>
      </c>
      <c r="D10" s="22" t="s">
        <v>376</v>
      </c>
      <c r="E10" s="30">
        <v>86</v>
      </c>
      <c r="F10" s="30">
        <v>88</v>
      </c>
      <c r="G10" s="30">
        <v>80</v>
      </c>
      <c r="H10" s="30">
        <v>85</v>
      </c>
      <c r="I10" s="30">
        <v>77</v>
      </c>
      <c r="J10" s="30">
        <v>84</v>
      </c>
      <c r="K10" s="30">
        <v>100</v>
      </c>
      <c r="L10" s="30">
        <v>99</v>
      </c>
      <c r="M10" s="30">
        <v>100</v>
      </c>
      <c r="N10" s="30">
        <v>100</v>
      </c>
      <c r="O10" s="30">
        <v>100</v>
      </c>
      <c r="P10" s="59">
        <f t="shared" si="1"/>
        <v>90.818181818181813</v>
      </c>
    </row>
    <row r="11" spans="1:16" s="5" customFormat="1" ht="13.5" customHeight="1" x14ac:dyDescent="0.3">
      <c r="A11" s="14"/>
      <c r="B11" s="17"/>
      <c r="C11" s="2"/>
      <c r="D11" s="22"/>
      <c r="E11" s="30" t="str">
        <f t="shared" ref="E11:O11" si="4">IF(E10&gt;=90,"A",IF(E10&gt;=80,"B",IF(E10&gt;=70,"C",IF(E10&gt;=60,"D","F"))))</f>
        <v>B</v>
      </c>
      <c r="F11" s="30" t="str">
        <f t="shared" si="4"/>
        <v>B</v>
      </c>
      <c r="G11" s="30" t="str">
        <f t="shared" si="4"/>
        <v>B</v>
      </c>
      <c r="H11" s="30" t="str">
        <f t="shared" si="4"/>
        <v>B</v>
      </c>
      <c r="I11" s="30" t="str">
        <f t="shared" si="4"/>
        <v>C</v>
      </c>
      <c r="J11" s="30" t="str">
        <f t="shared" si="4"/>
        <v>B</v>
      </c>
      <c r="K11" s="30" t="str">
        <f t="shared" si="4"/>
        <v>A</v>
      </c>
      <c r="L11" s="30" t="str">
        <f t="shared" si="4"/>
        <v>A</v>
      </c>
      <c r="M11" s="30" t="str">
        <f t="shared" si="4"/>
        <v>A</v>
      </c>
      <c r="N11" s="30" t="str">
        <f t="shared" si="4"/>
        <v>A</v>
      </c>
      <c r="O11" s="30" t="str">
        <f t="shared" si="4"/>
        <v>A</v>
      </c>
      <c r="P11" s="59"/>
    </row>
    <row r="12" spans="1:16" s="5" customFormat="1" ht="13.5" customHeight="1" x14ac:dyDescent="0.3">
      <c r="A12" s="14">
        <v>5</v>
      </c>
      <c r="B12" s="17" t="s">
        <v>190</v>
      </c>
      <c r="C12" s="2" t="s">
        <v>570</v>
      </c>
      <c r="D12" s="22" t="s">
        <v>376</v>
      </c>
      <c r="E12" s="18">
        <v>91</v>
      </c>
      <c r="F12" s="18">
        <v>92</v>
      </c>
      <c r="G12" s="18">
        <v>82</v>
      </c>
      <c r="H12" s="15">
        <v>92</v>
      </c>
      <c r="I12" s="15">
        <v>90</v>
      </c>
      <c r="J12" s="18">
        <v>94</v>
      </c>
      <c r="K12" s="30">
        <v>100</v>
      </c>
      <c r="L12" s="30">
        <v>100</v>
      </c>
      <c r="M12" s="30">
        <v>97</v>
      </c>
      <c r="N12" s="30">
        <v>100</v>
      </c>
      <c r="O12" s="30">
        <v>99</v>
      </c>
      <c r="P12" s="59">
        <f t="shared" si="1"/>
        <v>94.272727272727266</v>
      </c>
    </row>
    <row r="13" spans="1:16" s="5" customFormat="1" ht="13.5" customHeight="1" x14ac:dyDescent="0.3">
      <c r="A13" s="14"/>
      <c r="B13" s="17"/>
      <c r="C13" s="2"/>
      <c r="D13" s="22"/>
      <c r="E13" s="30" t="str">
        <f t="shared" ref="E13:O13" si="5">IF(E12&gt;=90,"A",IF(E12&gt;=80,"B",IF(E12&gt;=70,"C",IF(E12&gt;=60,"D","F"))))</f>
        <v>A</v>
      </c>
      <c r="F13" s="30" t="str">
        <f t="shared" si="5"/>
        <v>A</v>
      </c>
      <c r="G13" s="30" t="str">
        <f t="shared" si="5"/>
        <v>B</v>
      </c>
      <c r="H13" s="30" t="str">
        <f t="shared" si="5"/>
        <v>A</v>
      </c>
      <c r="I13" s="30" t="str">
        <f t="shared" si="5"/>
        <v>A</v>
      </c>
      <c r="J13" s="30" t="str">
        <f t="shared" si="5"/>
        <v>A</v>
      </c>
      <c r="K13" s="30" t="str">
        <f t="shared" si="5"/>
        <v>A</v>
      </c>
      <c r="L13" s="30" t="str">
        <f t="shared" si="5"/>
        <v>A</v>
      </c>
      <c r="M13" s="30" t="str">
        <f t="shared" si="5"/>
        <v>A</v>
      </c>
      <c r="N13" s="30" t="str">
        <f t="shared" si="5"/>
        <v>A</v>
      </c>
      <c r="O13" s="30" t="str">
        <f t="shared" si="5"/>
        <v>A</v>
      </c>
      <c r="P13" s="59"/>
    </row>
    <row r="14" spans="1:16" s="5" customFormat="1" ht="13.5" customHeight="1" x14ac:dyDescent="0.3">
      <c r="A14" s="14">
        <v>6</v>
      </c>
      <c r="B14" s="17" t="s">
        <v>191</v>
      </c>
      <c r="C14" s="2" t="s">
        <v>572</v>
      </c>
      <c r="D14" s="22" t="s">
        <v>375</v>
      </c>
      <c r="E14" s="30">
        <v>71</v>
      </c>
      <c r="F14" s="30">
        <v>82</v>
      </c>
      <c r="G14" s="30">
        <v>70</v>
      </c>
      <c r="H14" s="30">
        <v>66</v>
      </c>
      <c r="I14" s="30">
        <v>60</v>
      </c>
      <c r="J14" s="30">
        <v>92</v>
      </c>
      <c r="K14" s="30">
        <v>95</v>
      </c>
      <c r="L14" s="30">
        <v>97</v>
      </c>
      <c r="M14" s="30">
        <v>95</v>
      </c>
      <c r="N14" s="30">
        <v>97</v>
      </c>
      <c r="O14" s="30">
        <v>98</v>
      </c>
      <c r="P14" s="59">
        <f t="shared" si="1"/>
        <v>83.909090909090907</v>
      </c>
    </row>
    <row r="15" spans="1:16" s="5" customFormat="1" ht="13.5" customHeight="1" x14ac:dyDescent="0.3">
      <c r="A15" s="14"/>
      <c r="B15" s="17"/>
      <c r="C15" s="2"/>
      <c r="D15" s="22"/>
      <c r="E15" s="30" t="str">
        <f t="shared" ref="E15:O15" si="6">IF(E14&gt;=90,"A",IF(E14&gt;=80,"B",IF(E14&gt;=70,"C",IF(E14&gt;=60,"D","F"))))</f>
        <v>C</v>
      </c>
      <c r="F15" s="30" t="str">
        <f t="shared" si="6"/>
        <v>B</v>
      </c>
      <c r="G15" s="30" t="str">
        <f t="shared" si="6"/>
        <v>C</v>
      </c>
      <c r="H15" s="30" t="str">
        <f t="shared" si="6"/>
        <v>D</v>
      </c>
      <c r="I15" s="30" t="str">
        <f t="shared" si="6"/>
        <v>D</v>
      </c>
      <c r="J15" s="30" t="str">
        <f t="shared" si="6"/>
        <v>A</v>
      </c>
      <c r="K15" s="30" t="str">
        <f t="shared" si="6"/>
        <v>A</v>
      </c>
      <c r="L15" s="30" t="str">
        <f t="shared" si="6"/>
        <v>A</v>
      </c>
      <c r="M15" s="30" t="str">
        <f t="shared" si="6"/>
        <v>A</v>
      </c>
      <c r="N15" s="30" t="str">
        <f t="shared" si="6"/>
        <v>A</v>
      </c>
      <c r="O15" s="30" t="str">
        <f t="shared" si="6"/>
        <v>A</v>
      </c>
      <c r="P15" s="59"/>
    </row>
    <row r="16" spans="1:16" s="5" customFormat="1" ht="13.5" customHeight="1" x14ac:dyDescent="0.3">
      <c r="A16" s="14">
        <v>7</v>
      </c>
      <c r="B16" s="17" t="s">
        <v>373</v>
      </c>
      <c r="C16" s="2" t="s">
        <v>573</v>
      </c>
      <c r="D16" s="22" t="s">
        <v>376</v>
      </c>
      <c r="E16" s="30">
        <v>87</v>
      </c>
      <c r="F16" s="30">
        <v>97</v>
      </c>
      <c r="G16" s="30">
        <v>91</v>
      </c>
      <c r="H16" s="30">
        <v>81</v>
      </c>
      <c r="I16" s="30">
        <v>80</v>
      </c>
      <c r="J16" s="30">
        <v>91</v>
      </c>
      <c r="K16" s="30">
        <v>100</v>
      </c>
      <c r="L16" s="30">
        <v>99</v>
      </c>
      <c r="M16" s="30">
        <v>100</v>
      </c>
      <c r="N16" s="30">
        <v>100</v>
      </c>
      <c r="O16" s="30">
        <v>99</v>
      </c>
      <c r="P16" s="59">
        <f t="shared" si="1"/>
        <v>93.181818181818187</v>
      </c>
    </row>
    <row r="17" spans="1:16" s="5" customFormat="1" ht="13.5" customHeight="1" x14ac:dyDescent="0.3">
      <c r="A17" s="14"/>
      <c r="B17" s="17"/>
      <c r="D17" s="22"/>
      <c r="E17" s="30" t="str">
        <f t="shared" ref="E17:O17" si="7">IF(E16&gt;=90,"A",IF(E16&gt;=80,"B",IF(E16&gt;=70,"C",IF(E16&gt;=60,"D","F"))))</f>
        <v>B</v>
      </c>
      <c r="F17" s="30" t="str">
        <f t="shared" si="7"/>
        <v>A</v>
      </c>
      <c r="G17" s="30" t="str">
        <f t="shared" si="7"/>
        <v>A</v>
      </c>
      <c r="H17" s="30" t="str">
        <f t="shared" si="7"/>
        <v>B</v>
      </c>
      <c r="I17" s="30" t="str">
        <f t="shared" si="7"/>
        <v>B</v>
      </c>
      <c r="J17" s="30" t="str">
        <f t="shared" si="7"/>
        <v>A</v>
      </c>
      <c r="K17" s="30" t="str">
        <f t="shared" si="7"/>
        <v>A</v>
      </c>
      <c r="L17" s="30" t="str">
        <f t="shared" si="7"/>
        <v>A</v>
      </c>
      <c r="M17" s="30" t="str">
        <f t="shared" si="7"/>
        <v>A</v>
      </c>
      <c r="N17" s="30" t="str">
        <f t="shared" si="7"/>
        <v>A</v>
      </c>
      <c r="O17" s="30" t="str">
        <f t="shared" si="7"/>
        <v>A</v>
      </c>
      <c r="P17" s="59"/>
    </row>
    <row r="18" spans="1:16" s="5" customFormat="1" ht="13.5" customHeight="1" x14ac:dyDescent="0.3">
      <c r="A18" s="14">
        <v>8</v>
      </c>
      <c r="B18" s="17" t="s">
        <v>22</v>
      </c>
      <c r="C18" s="2" t="s">
        <v>574</v>
      </c>
      <c r="D18" s="22" t="s">
        <v>376</v>
      </c>
      <c r="E18" s="18">
        <v>91</v>
      </c>
      <c r="F18" s="18">
        <v>84</v>
      </c>
      <c r="G18" s="18">
        <v>81</v>
      </c>
      <c r="H18" s="18">
        <v>90</v>
      </c>
      <c r="I18" s="18">
        <v>76</v>
      </c>
      <c r="J18" s="18">
        <v>95</v>
      </c>
      <c r="K18" s="18">
        <v>100</v>
      </c>
      <c r="L18" s="18">
        <v>100</v>
      </c>
      <c r="M18" s="18">
        <v>100</v>
      </c>
      <c r="N18" s="18">
        <v>98</v>
      </c>
      <c r="O18" s="30">
        <v>98</v>
      </c>
      <c r="P18" s="59">
        <f t="shared" si="1"/>
        <v>92.090909090909093</v>
      </c>
    </row>
    <row r="19" spans="1:16" s="5" customFormat="1" ht="13.5" customHeight="1" x14ac:dyDescent="0.3">
      <c r="A19" s="14"/>
      <c r="B19" s="17"/>
      <c r="D19" s="22"/>
      <c r="E19" s="30" t="str">
        <f t="shared" ref="E19:O19" si="8">IF(E18&gt;=90,"A",IF(E18&gt;=80,"B",IF(E18&gt;=70,"C",IF(E18&gt;=60,"D","F"))))</f>
        <v>A</v>
      </c>
      <c r="F19" s="30" t="str">
        <f t="shared" si="8"/>
        <v>B</v>
      </c>
      <c r="G19" s="30" t="str">
        <f t="shared" si="8"/>
        <v>B</v>
      </c>
      <c r="H19" s="30" t="str">
        <f t="shared" si="8"/>
        <v>A</v>
      </c>
      <c r="I19" s="30" t="str">
        <f t="shared" si="8"/>
        <v>C</v>
      </c>
      <c r="J19" s="30" t="str">
        <f t="shared" si="8"/>
        <v>A</v>
      </c>
      <c r="K19" s="30" t="str">
        <f t="shared" si="8"/>
        <v>A</v>
      </c>
      <c r="L19" s="30" t="str">
        <f t="shared" si="8"/>
        <v>A</v>
      </c>
      <c r="M19" s="30" t="str">
        <f t="shared" si="8"/>
        <v>A</v>
      </c>
      <c r="N19" s="30" t="str">
        <f t="shared" si="8"/>
        <v>A</v>
      </c>
      <c r="O19" s="30" t="str">
        <f t="shared" si="8"/>
        <v>A</v>
      </c>
      <c r="P19" s="59"/>
    </row>
    <row r="20" spans="1:16" s="5" customFormat="1" ht="13.5" customHeight="1" x14ac:dyDescent="0.3">
      <c r="A20" s="14">
        <v>9</v>
      </c>
      <c r="B20" s="11" t="s">
        <v>433</v>
      </c>
      <c r="C20" s="2" t="s">
        <v>571</v>
      </c>
      <c r="D20" s="12" t="s">
        <v>376</v>
      </c>
      <c r="E20" s="15">
        <v>90</v>
      </c>
      <c r="F20" s="5">
        <v>92</v>
      </c>
      <c r="G20" s="18">
        <v>83</v>
      </c>
      <c r="H20" s="18">
        <v>90</v>
      </c>
      <c r="I20" s="18">
        <v>84</v>
      </c>
      <c r="J20" s="18">
        <v>95</v>
      </c>
      <c r="K20" s="18">
        <v>100</v>
      </c>
      <c r="L20" s="18">
        <v>99</v>
      </c>
      <c r="M20" s="18">
        <v>90</v>
      </c>
      <c r="N20" s="18">
        <v>100</v>
      </c>
      <c r="O20" s="30">
        <v>97</v>
      </c>
      <c r="P20" s="59">
        <f t="shared" si="1"/>
        <v>92.727272727272734</v>
      </c>
    </row>
    <row r="21" spans="1:16" s="5" customFormat="1" ht="13.5" customHeight="1" x14ac:dyDescent="0.3">
      <c r="A21" s="14"/>
      <c r="B21" s="11"/>
      <c r="C21" s="2"/>
      <c r="D21" s="12"/>
      <c r="E21" s="30" t="str">
        <f t="shared" ref="E21:O21" si="9">IF(E20&gt;=90,"A",IF(E20&gt;=80,"B",IF(E20&gt;=70,"C",IF(E20&gt;=60,"D","F"))))</f>
        <v>A</v>
      </c>
      <c r="F21" s="30" t="str">
        <f t="shared" si="9"/>
        <v>A</v>
      </c>
      <c r="G21" s="30" t="str">
        <f t="shared" si="9"/>
        <v>B</v>
      </c>
      <c r="H21" s="30" t="str">
        <f t="shared" si="9"/>
        <v>A</v>
      </c>
      <c r="I21" s="30" t="str">
        <f t="shared" si="9"/>
        <v>B</v>
      </c>
      <c r="J21" s="30" t="str">
        <f t="shared" si="9"/>
        <v>A</v>
      </c>
      <c r="K21" s="30" t="str">
        <f t="shared" si="9"/>
        <v>A</v>
      </c>
      <c r="L21" s="30" t="str">
        <f t="shared" si="9"/>
        <v>A</v>
      </c>
      <c r="M21" s="30" t="str">
        <f t="shared" si="9"/>
        <v>A</v>
      </c>
      <c r="N21" s="30" t="str">
        <f t="shared" si="9"/>
        <v>A</v>
      </c>
      <c r="O21" s="30" t="str">
        <f t="shared" si="9"/>
        <v>A</v>
      </c>
      <c r="P21" s="59"/>
    </row>
    <row r="22" spans="1:16" s="5" customFormat="1" ht="13.5" customHeight="1" x14ac:dyDescent="0.3">
      <c r="A22" s="14">
        <v>10</v>
      </c>
      <c r="B22" s="17" t="s">
        <v>192</v>
      </c>
      <c r="C22" s="2" t="s">
        <v>575</v>
      </c>
      <c r="D22" s="22" t="s">
        <v>375</v>
      </c>
      <c r="E22" s="18">
        <v>61</v>
      </c>
      <c r="F22" s="18">
        <v>74</v>
      </c>
      <c r="G22" s="30">
        <v>75</v>
      </c>
      <c r="H22" s="30">
        <v>78</v>
      </c>
      <c r="I22" s="30">
        <v>73</v>
      </c>
      <c r="J22" s="30">
        <v>80</v>
      </c>
      <c r="K22" s="30">
        <v>95</v>
      </c>
      <c r="L22" s="30">
        <v>100</v>
      </c>
      <c r="M22" s="30">
        <v>87</v>
      </c>
      <c r="N22" s="30">
        <v>100</v>
      </c>
      <c r="O22" s="30">
        <v>98</v>
      </c>
      <c r="P22" s="59">
        <f t="shared" si="1"/>
        <v>83.727272727272734</v>
      </c>
    </row>
    <row r="23" spans="1:16" s="5" customFormat="1" ht="13.5" customHeight="1" x14ac:dyDescent="0.3">
      <c r="A23" s="14"/>
      <c r="B23" s="17"/>
      <c r="C23" s="2"/>
      <c r="D23" s="22"/>
      <c r="E23" s="30" t="str">
        <f t="shared" ref="E23:O23" si="10">IF(E22&gt;=90,"A",IF(E22&gt;=80,"B",IF(E22&gt;=70,"C",IF(E22&gt;=60,"D","F"))))</f>
        <v>D</v>
      </c>
      <c r="F23" s="30" t="str">
        <f t="shared" si="10"/>
        <v>C</v>
      </c>
      <c r="G23" s="30" t="str">
        <f t="shared" si="10"/>
        <v>C</v>
      </c>
      <c r="H23" s="30" t="str">
        <f t="shared" si="10"/>
        <v>C</v>
      </c>
      <c r="I23" s="30" t="str">
        <f t="shared" si="10"/>
        <v>C</v>
      </c>
      <c r="J23" s="30" t="str">
        <f t="shared" si="10"/>
        <v>B</v>
      </c>
      <c r="K23" s="30" t="str">
        <f t="shared" si="10"/>
        <v>A</v>
      </c>
      <c r="L23" s="30" t="str">
        <f t="shared" si="10"/>
        <v>A</v>
      </c>
      <c r="M23" s="30" t="str">
        <f t="shared" si="10"/>
        <v>B</v>
      </c>
      <c r="N23" s="30" t="str">
        <f t="shared" si="10"/>
        <v>A</v>
      </c>
      <c r="O23" s="30" t="str">
        <f t="shared" si="10"/>
        <v>A</v>
      </c>
      <c r="P23" s="59"/>
    </row>
    <row r="24" spans="1:16" s="5" customFormat="1" ht="13.5" customHeight="1" x14ac:dyDescent="0.3">
      <c r="A24" s="14">
        <v>11</v>
      </c>
      <c r="B24" s="17" t="s">
        <v>54</v>
      </c>
      <c r="C24" s="2" t="s">
        <v>578</v>
      </c>
      <c r="D24" s="22" t="s">
        <v>376</v>
      </c>
      <c r="E24" s="30">
        <v>96</v>
      </c>
      <c r="F24" s="30">
        <v>89</v>
      </c>
      <c r="G24" s="30">
        <v>93</v>
      </c>
      <c r="H24" s="30">
        <v>92</v>
      </c>
      <c r="I24" s="30">
        <v>82</v>
      </c>
      <c r="J24" s="30">
        <v>90</v>
      </c>
      <c r="K24" s="30">
        <v>100</v>
      </c>
      <c r="L24" s="30">
        <v>100</v>
      </c>
      <c r="M24" s="30">
        <v>98</v>
      </c>
      <c r="N24" s="30">
        <v>100</v>
      </c>
      <c r="O24" s="30">
        <v>98</v>
      </c>
      <c r="P24" s="59">
        <f t="shared" si="1"/>
        <v>94.36363636363636</v>
      </c>
    </row>
    <row r="25" spans="1:16" s="5" customFormat="1" ht="13.5" customHeight="1" x14ac:dyDescent="0.3">
      <c r="A25" s="14"/>
      <c r="B25" s="17"/>
      <c r="C25" s="2"/>
      <c r="D25" s="22"/>
      <c r="E25" s="30" t="str">
        <f t="shared" ref="E25:O25" si="11">IF(E24&gt;=90,"A",IF(E24&gt;=80,"B",IF(E24&gt;=70,"C",IF(E24&gt;=60,"D","F"))))</f>
        <v>A</v>
      </c>
      <c r="F25" s="30" t="str">
        <f t="shared" si="11"/>
        <v>B</v>
      </c>
      <c r="G25" s="30" t="str">
        <f t="shared" si="11"/>
        <v>A</v>
      </c>
      <c r="H25" s="30" t="str">
        <f t="shared" si="11"/>
        <v>A</v>
      </c>
      <c r="I25" s="30" t="str">
        <f t="shared" si="11"/>
        <v>B</v>
      </c>
      <c r="J25" s="30" t="str">
        <f t="shared" si="11"/>
        <v>A</v>
      </c>
      <c r="K25" s="30" t="str">
        <f t="shared" si="11"/>
        <v>A</v>
      </c>
      <c r="L25" s="30" t="str">
        <f t="shared" si="11"/>
        <v>A</v>
      </c>
      <c r="M25" s="30" t="str">
        <f t="shared" si="11"/>
        <v>A</v>
      </c>
      <c r="N25" s="30" t="str">
        <f t="shared" si="11"/>
        <v>A</v>
      </c>
      <c r="O25" s="30" t="str">
        <f t="shared" si="11"/>
        <v>A</v>
      </c>
      <c r="P25" s="59"/>
    </row>
    <row r="26" spans="1:16" s="5" customFormat="1" ht="13.5" customHeight="1" x14ac:dyDescent="0.3">
      <c r="A26" s="14">
        <v>12</v>
      </c>
      <c r="B26" s="17" t="s">
        <v>193</v>
      </c>
      <c r="C26" s="2" t="s">
        <v>577</v>
      </c>
      <c r="D26" s="22" t="s">
        <v>375</v>
      </c>
      <c r="E26" s="18">
        <v>90</v>
      </c>
      <c r="F26" s="18">
        <v>94</v>
      </c>
      <c r="G26" s="18">
        <v>76</v>
      </c>
      <c r="H26" s="18">
        <v>90</v>
      </c>
      <c r="I26" s="18">
        <v>86</v>
      </c>
      <c r="J26" s="18">
        <v>96</v>
      </c>
      <c r="K26" s="18">
        <v>100</v>
      </c>
      <c r="L26" s="18">
        <v>99</v>
      </c>
      <c r="M26" s="18">
        <v>100</v>
      </c>
      <c r="N26" s="18">
        <v>98</v>
      </c>
      <c r="O26" s="30">
        <v>99</v>
      </c>
      <c r="P26" s="59">
        <f t="shared" si="1"/>
        <v>93.454545454545453</v>
      </c>
    </row>
    <row r="27" spans="1:16" s="5" customFormat="1" ht="13.5" customHeight="1" x14ac:dyDescent="0.3">
      <c r="A27" s="14"/>
      <c r="B27" s="17"/>
      <c r="D27" s="22"/>
      <c r="E27" s="30" t="str">
        <f t="shared" ref="E27:O27" si="12">IF(E26&gt;=90,"A",IF(E26&gt;=80,"B",IF(E26&gt;=70,"C",IF(E26&gt;=60,"D","F"))))</f>
        <v>A</v>
      </c>
      <c r="F27" s="30" t="str">
        <f t="shared" si="12"/>
        <v>A</v>
      </c>
      <c r="G27" s="30" t="str">
        <f t="shared" si="12"/>
        <v>C</v>
      </c>
      <c r="H27" s="30" t="str">
        <f t="shared" si="12"/>
        <v>A</v>
      </c>
      <c r="I27" s="30" t="str">
        <f t="shared" si="12"/>
        <v>B</v>
      </c>
      <c r="J27" s="30" t="str">
        <f t="shared" si="12"/>
        <v>A</v>
      </c>
      <c r="K27" s="30" t="str">
        <f t="shared" si="12"/>
        <v>A</v>
      </c>
      <c r="L27" s="30" t="str">
        <f t="shared" si="12"/>
        <v>A</v>
      </c>
      <c r="M27" s="30" t="str">
        <f t="shared" si="12"/>
        <v>A</v>
      </c>
      <c r="N27" s="30" t="str">
        <f t="shared" si="12"/>
        <v>A</v>
      </c>
      <c r="O27" s="30" t="str">
        <f t="shared" si="12"/>
        <v>A</v>
      </c>
      <c r="P27" s="59"/>
    </row>
    <row r="28" spans="1:16" s="5" customFormat="1" ht="13.5" customHeight="1" x14ac:dyDescent="0.3">
      <c r="A28" s="14">
        <v>13</v>
      </c>
      <c r="B28" s="15" t="s">
        <v>434</v>
      </c>
      <c r="C28" s="2" t="s">
        <v>576</v>
      </c>
      <c r="D28" s="22" t="s">
        <v>376</v>
      </c>
      <c r="E28" s="18">
        <v>77</v>
      </c>
      <c r="F28" s="18">
        <v>83</v>
      </c>
      <c r="G28" s="18">
        <v>85</v>
      </c>
      <c r="H28" s="18">
        <v>90</v>
      </c>
      <c r="I28" s="18">
        <v>76</v>
      </c>
      <c r="J28" s="15">
        <v>93</v>
      </c>
      <c r="K28" s="18">
        <v>100</v>
      </c>
      <c r="L28" s="18">
        <v>98</v>
      </c>
      <c r="M28" s="18">
        <v>100</v>
      </c>
      <c r="N28" s="18">
        <v>100</v>
      </c>
      <c r="O28" s="30">
        <v>99</v>
      </c>
      <c r="P28" s="59">
        <f t="shared" si="1"/>
        <v>91</v>
      </c>
    </row>
    <row r="29" spans="1:16" s="5" customFormat="1" ht="13.5" customHeight="1" x14ac:dyDescent="0.3">
      <c r="A29" s="14"/>
      <c r="B29" s="15"/>
      <c r="C29" s="2"/>
      <c r="D29" s="22"/>
      <c r="E29" s="30" t="str">
        <f t="shared" ref="E29:O29" si="13">IF(E28&gt;=90,"A",IF(E28&gt;=80,"B",IF(E28&gt;=70,"C",IF(E28&gt;=60,"D","F"))))</f>
        <v>C</v>
      </c>
      <c r="F29" s="30" t="str">
        <f t="shared" si="13"/>
        <v>B</v>
      </c>
      <c r="G29" s="30" t="str">
        <f t="shared" si="13"/>
        <v>B</v>
      </c>
      <c r="H29" s="30" t="str">
        <f t="shared" si="13"/>
        <v>A</v>
      </c>
      <c r="I29" s="30" t="str">
        <f t="shared" si="13"/>
        <v>C</v>
      </c>
      <c r="J29" s="30" t="str">
        <f t="shared" si="13"/>
        <v>A</v>
      </c>
      <c r="K29" s="30" t="str">
        <f t="shared" si="13"/>
        <v>A</v>
      </c>
      <c r="L29" s="30" t="str">
        <f t="shared" si="13"/>
        <v>A</v>
      </c>
      <c r="M29" s="30" t="str">
        <f t="shared" si="13"/>
        <v>A</v>
      </c>
      <c r="N29" s="30" t="str">
        <f t="shared" si="13"/>
        <v>A</v>
      </c>
      <c r="O29" s="30" t="str">
        <f t="shared" si="13"/>
        <v>A</v>
      </c>
      <c r="P29" s="59"/>
    </row>
    <row r="30" spans="1:16" s="5" customFormat="1" ht="13.5" customHeight="1" x14ac:dyDescent="0.3">
      <c r="A30" s="14">
        <v>14</v>
      </c>
      <c r="B30" s="17" t="s">
        <v>405</v>
      </c>
      <c r="C30" s="2" t="s">
        <v>579</v>
      </c>
      <c r="D30" s="22" t="s">
        <v>376</v>
      </c>
      <c r="E30" s="30">
        <v>86</v>
      </c>
      <c r="F30" s="30">
        <v>88</v>
      </c>
      <c r="G30" s="30">
        <v>80</v>
      </c>
      <c r="H30" s="30">
        <v>82</v>
      </c>
      <c r="I30" s="30">
        <v>82</v>
      </c>
      <c r="J30" s="18">
        <v>92</v>
      </c>
      <c r="K30" s="30">
        <v>100</v>
      </c>
      <c r="L30" s="30">
        <v>98</v>
      </c>
      <c r="M30" s="30">
        <v>98</v>
      </c>
      <c r="N30" s="30">
        <v>100</v>
      </c>
      <c r="O30" s="30">
        <v>99</v>
      </c>
      <c r="P30" s="59">
        <f t="shared" si="1"/>
        <v>91.36363636363636</v>
      </c>
    </row>
    <row r="31" spans="1:16" s="5" customFormat="1" ht="13.5" customHeight="1" x14ac:dyDescent="0.3">
      <c r="A31" s="14"/>
      <c r="B31" s="17"/>
      <c r="C31" s="2"/>
      <c r="D31" s="22"/>
      <c r="E31" s="30" t="str">
        <f t="shared" ref="E31:O31" si="14">IF(E30&gt;=90,"A",IF(E30&gt;=80,"B",IF(E30&gt;=70,"C",IF(E30&gt;=60,"D","F"))))</f>
        <v>B</v>
      </c>
      <c r="F31" s="30" t="str">
        <f t="shared" si="14"/>
        <v>B</v>
      </c>
      <c r="G31" s="30" t="str">
        <f t="shared" si="14"/>
        <v>B</v>
      </c>
      <c r="H31" s="30" t="str">
        <f t="shared" si="14"/>
        <v>B</v>
      </c>
      <c r="I31" s="30" t="str">
        <f t="shared" si="14"/>
        <v>B</v>
      </c>
      <c r="J31" s="30" t="str">
        <f t="shared" si="14"/>
        <v>A</v>
      </c>
      <c r="K31" s="30" t="str">
        <f t="shared" si="14"/>
        <v>A</v>
      </c>
      <c r="L31" s="30" t="str">
        <f t="shared" si="14"/>
        <v>A</v>
      </c>
      <c r="M31" s="30" t="str">
        <f t="shared" si="14"/>
        <v>A</v>
      </c>
      <c r="N31" s="30" t="str">
        <f t="shared" si="14"/>
        <v>A</v>
      </c>
      <c r="O31" s="30" t="str">
        <f t="shared" si="14"/>
        <v>A</v>
      </c>
      <c r="P31" s="59"/>
    </row>
    <row r="32" spans="1:16" s="5" customFormat="1" ht="13.5" customHeight="1" x14ac:dyDescent="0.3">
      <c r="A32" s="14">
        <v>15</v>
      </c>
      <c r="B32" s="17" t="s">
        <v>194</v>
      </c>
      <c r="C32" s="2" t="s">
        <v>580</v>
      </c>
      <c r="D32" s="22" t="s">
        <v>376</v>
      </c>
      <c r="E32" s="30">
        <v>82</v>
      </c>
      <c r="F32" s="30">
        <v>81</v>
      </c>
      <c r="G32" s="30">
        <v>90</v>
      </c>
      <c r="H32" s="30">
        <v>86</v>
      </c>
      <c r="I32" s="30">
        <v>84</v>
      </c>
      <c r="J32" s="30">
        <v>95</v>
      </c>
      <c r="K32" s="30">
        <v>100</v>
      </c>
      <c r="L32" s="30">
        <v>99</v>
      </c>
      <c r="M32" s="30">
        <v>100</v>
      </c>
      <c r="N32" s="30">
        <v>96</v>
      </c>
      <c r="O32" s="30">
        <v>99</v>
      </c>
      <c r="P32" s="59">
        <f t="shared" si="1"/>
        <v>92</v>
      </c>
    </row>
    <row r="33" spans="1:16" s="5" customFormat="1" ht="13.5" customHeight="1" x14ac:dyDescent="0.3">
      <c r="A33" s="14"/>
      <c r="B33" s="17"/>
      <c r="C33" s="2"/>
      <c r="D33" s="22"/>
      <c r="E33" s="30" t="str">
        <f t="shared" ref="E33:O33" si="15">IF(E32&gt;=90,"A",IF(E32&gt;=80,"B",IF(E32&gt;=70,"C",IF(E32&gt;=60,"D","F"))))</f>
        <v>B</v>
      </c>
      <c r="F33" s="30" t="str">
        <f t="shared" si="15"/>
        <v>B</v>
      </c>
      <c r="G33" s="30" t="str">
        <f t="shared" si="15"/>
        <v>A</v>
      </c>
      <c r="H33" s="30" t="str">
        <f t="shared" si="15"/>
        <v>B</v>
      </c>
      <c r="I33" s="30" t="str">
        <f t="shared" si="15"/>
        <v>B</v>
      </c>
      <c r="J33" s="30" t="str">
        <f t="shared" si="15"/>
        <v>A</v>
      </c>
      <c r="K33" s="30" t="str">
        <f t="shared" si="15"/>
        <v>A</v>
      </c>
      <c r="L33" s="30" t="str">
        <f t="shared" si="15"/>
        <v>A</v>
      </c>
      <c r="M33" s="30" t="str">
        <f t="shared" si="15"/>
        <v>A</v>
      </c>
      <c r="N33" s="30" t="str">
        <f t="shared" si="15"/>
        <v>A</v>
      </c>
      <c r="O33" s="30" t="str">
        <f t="shared" si="15"/>
        <v>A</v>
      </c>
      <c r="P33" s="59"/>
    </row>
    <row r="34" spans="1:16" s="5" customFormat="1" ht="13.5" customHeight="1" x14ac:dyDescent="0.3">
      <c r="A34" s="14">
        <v>16</v>
      </c>
      <c r="B34" s="17" t="s">
        <v>195</v>
      </c>
      <c r="C34" s="2" t="s">
        <v>581</v>
      </c>
      <c r="D34" s="22" t="s">
        <v>376</v>
      </c>
      <c r="E34" s="18">
        <v>94</v>
      </c>
      <c r="F34" s="18">
        <v>91</v>
      </c>
      <c r="G34" s="18">
        <v>94</v>
      </c>
      <c r="H34" s="18">
        <v>94</v>
      </c>
      <c r="I34" s="18">
        <v>95</v>
      </c>
      <c r="J34" s="30">
        <v>97</v>
      </c>
      <c r="K34" s="18">
        <v>100</v>
      </c>
      <c r="L34" s="18">
        <v>98</v>
      </c>
      <c r="M34" s="18">
        <v>96</v>
      </c>
      <c r="N34" s="18">
        <v>100</v>
      </c>
      <c r="O34" s="30">
        <v>100</v>
      </c>
      <c r="P34" s="59">
        <f t="shared" si="1"/>
        <v>96.272727272727266</v>
      </c>
    </row>
    <row r="35" spans="1:16" s="5" customFormat="1" ht="13.5" customHeight="1" x14ac:dyDescent="0.3">
      <c r="A35" s="14"/>
      <c r="B35" s="17"/>
      <c r="C35" s="2"/>
      <c r="D35" s="22"/>
      <c r="E35" s="30" t="str">
        <f t="shared" ref="E35:O35" si="16">IF(E34&gt;=90,"A",IF(E34&gt;=80,"B",IF(E34&gt;=70,"C",IF(E34&gt;=60,"D","F"))))</f>
        <v>A</v>
      </c>
      <c r="F35" s="30" t="str">
        <f t="shared" si="16"/>
        <v>A</v>
      </c>
      <c r="G35" s="30" t="str">
        <f t="shared" si="16"/>
        <v>A</v>
      </c>
      <c r="H35" s="30" t="str">
        <f t="shared" si="16"/>
        <v>A</v>
      </c>
      <c r="I35" s="30" t="str">
        <f t="shared" si="16"/>
        <v>A</v>
      </c>
      <c r="J35" s="30" t="str">
        <f t="shared" si="16"/>
        <v>A</v>
      </c>
      <c r="K35" s="30" t="str">
        <f t="shared" si="16"/>
        <v>A</v>
      </c>
      <c r="L35" s="30" t="str">
        <f t="shared" si="16"/>
        <v>A</v>
      </c>
      <c r="M35" s="30" t="str">
        <f t="shared" si="16"/>
        <v>A</v>
      </c>
      <c r="N35" s="30" t="str">
        <f t="shared" si="16"/>
        <v>A</v>
      </c>
      <c r="O35" s="30" t="str">
        <f t="shared" si="16"/>
        <v>A</v>
      </c>
      <c r="P35" s="59"/>
    </row>
    <row r="36" spans="1:16" s="5" customFormat="1" ht="13.5" customHeight="1" x14ac:dyDescent="0.3">
      <c r="A36" s="14">
        <v>17</v>
      </c>
      <c r="B36" s="17" t="s">
        <v>18</v>
      </c>
      <c r="C36" s="2" t="s">
        <v>582</v>
      </c>
      <c r="D36" s="22" t="s">
        <v>375</v>
      </c>
      <c r="E36" s="18">
        <v>80</v>
      </c>
      <c r="F36" s="18">
        <v>82</v>
      </c>
      <c r="G36" s="18">
        <v>81</v>
      </c>
      <c r="H36" s="18">
        <v>92</v>
      </c>
      <c r="I36" s="18">
        <v>81</v>
      </c>
      <c r="J36" s="18">
        <v>87</v>
      </c>
      <c r="K36" s="18">
        <v>90</v>
      </c>
      <c r="L36" s="18">
        <v>100</v>
      </c>
      <c r="M36" s="18">
        <v>100</v>
      </c>
      <c r="N36" s="18">
        <v>100</v>
      </c>
      <c r="O36" s="30">
        <v>98</v>
      </c>
      <c r="P36" s="59">
        <f t="shared" si="1"/>
        <v>90.090909090909093</v>
      </c>
    </row>
    <row r="37" spans="1:16" s="5" customFormat="1" ht="13.5" customHeight="1" x14ac:dyDescent="0.3">
      <c r="A37" s="14"/>
      <c r="B37" s="17"/>
      <c r="C37" s="2"/>
      <c r="D37" s="22"/>
      <c r="E37" s="30" t="str">
        <f t="shared" ref="E37:O37" si="17">IF(E36&gt;=90,"A",IF(E36&gt;=80,"B",IF(E36&gt;=70,"C",IF(E36&gt;=60,"D","F"))))</f>
        <v>B</v>
      </c>
      <c r="F37" s="30" t="str">
        <f t="shared" si="17"/>
        <v>B</v>
      </c>
      <c r="G37" s="30" t="str">
        <f t="shared" si="17"/>
        <v>B</v>
      </c>
      <c r="H37" s="30" t="str">
        <f t="shared" si="17"/>
        <v>A</v>
      </c>
      <c r="I37" s="30" t="str">
        <f t="shared" si="17"/>
        <v>B</v>
      </c>
      <c r="J37" s="30" t="str">
        <f t="shared" si="17"/>
        <v>B</v>
      </c>
      <c r="K37" s="30" t="str">
        <f t="shared" si="17"/>
        <v>A</v>
      </c>
      <c r="L37" s="30" t="str">
        <f t="shared" si="17"/>
        <v>A</v>
      </c>
      <c r="M37" s="30" t="str">
        <f t="shared" si="17"/>
        <v>A</v>
      </c>
      <c r="N37" s="30" t="str">
        <f t="shared" si="17"/>
        <v>A</v>
      </c>
      <c r="O37" s="30" t="str">
        <f t="shared" si="17"/>
        <v>A</v>
      </c>
      <c r="P37" s="59"/>
    </row>
    <row r="38" spans="1:16" s="5" customFormat="1" ht="13.5" customHeight="1" x14ac:dyDescent="0.3">
      <c r="A38" s="14">
        <v>18</v>
      </c>
      <c r="B38" s="17" t="s">
        <v>196</v>
      </c>
      <c r="C38" s="2" t="s">
        <v>583</v>
      </c>
      <c r="D38" s="22" t="s">
        <v>376</v>
      </c>
      <c r="E38" s="18">
        <v>94</v>
      </c>
      <c r="F38" s="18">
        <v>94</v>
      </c>
      <c r="G38" s="18">
        <v>95</v>
      </c>
      <c r="H38" s="18">
        <v>100</v>
      </c>
      <c r="I38" s="18">
        <v>96</v>
      </c>
      <c r="J38" s="18">
        <v>97</v>
      </c>
      <c r="K38" s="18">
        <v>100</v>
      </c>
      <c r="L38" s="18">
        <v>98</v>
      </c>
      <c r="M38" s="18">
        <v>100</v>
      </c>
      <c r="N38" s="18">
        <v>100</v>
      </c>
      <c r="O38" s="30">
        <v>100</v>
      </c>
      <c r="P38" s="59">
        <f t="shared" si="1"/>
        <v>97.63636363636364</v>
      </c>
    </row>
    <row r="39" spans="1:16" s="5" customFormat="1" ht="13.5" customHeight="1" x14ac:dyDescent="0.3">
      <c r="A39" s="14"/>
      <c r="B39" s="17"/>
      <c r="C39" s="2"/>
      <c r="D39" s="22"/>
      <c r="E39" s="30" t="str">
        <f t="shared" ref="E39:O39" si="18">IF(E38&gt;=90,"A",IF(E38&gt;=80,"B",IF(E38&gt;=70,"C",IF(E38&gt;=60,"D","F"))))</f>
        <v>A</v>
      </c>
      <c r="F39" s="30" t="str">
        <f t="shared" si="18"/>
        <v>A</v>
      </c>
      <c r="G39" s="30" t="str">
        <f t="shared" si="18"/>
        <v>A</v>
      </c>
      <c r="H39" s="30" t="str">
        <f t="shared" si="18"/>
        <v>A</v>
      </c>
      <c r="I39" s="30" t="str">
        <f t="shared" si="18"/>
        <v>A</v>
      </c>
      <c r="J39" s="30" t="str">
        <f t="shared" si="18"/>
        <v>A</v>
      </c>
      <c r="K39" s="30" t="str">
        <f t="shared" si="18"/>
        <v>A</v>
      </c>
      <c r="L39" s="30" t="str">
        <f t="shared" si="18"/>
        <v>A</v>
      </c>
      <c r="M39" s="30" t="str">
        <f t="shared" si="18"/>
        <v>A</v>
      </c>
      <c r="N39" s="30" t="str">
        <f t="shared" si="18"/>
        <v>A</v>
      </c>
      <c r="O39" s="30" t="str">
        <f t="shared" si="18"/>
        <v>A</v>
      </c>
      <c r="P39" s="59"/>
    </row>
    <row r="40" spans="1:16" s="5" customFormat="1" ht="13.5" customHeight="1" x14ac:dyDescent="0.3">
      <c r="A40" s="14">
        <v>19</v>
      </c>
      <c r="B40" s="17" t="s">
        <v>197</v>
      </c>
      <c r="C40" s="2" t="s">
        <v>584</v>
      </c>
      <c r="D40" s="22" t="s">
        <v>375</v>
      </c>
      <c r="E40" s="18">
        <v>60</v>
      </c>
      <c r="F40" s="18">
        <v>72</v>
      </c>
      <c r="G40" s="18">
        <v>62</v>
      </c>
      <c r="H40" s="18">
        <v>67</v>
      </c>
      <c r="I40" s="18">
        <v>70</v>
      </c>
      <c r="J40" s="18">
        <v>78</v>
      </c>
      <c r="K40" s="18">
        <v>98</v>
      </c>
      <c r="L40" s="18">
        <v>100</v>
      </c>
      <c r="M40" s="18">
        <v>92</v>
      </c>
      <c r="N40" s="18">
        <v>97</v>
      </c>
      <c r="O40" s="30">
        <v>100</v>
      </c>
      <c r="P40" s="59">
        <f t="shared" si="1"/>
        <v>81.454545454545453</v>
      </c>
    </row>
    <row r="41" spans="1:16" s="5" customFormat="1" ht="13.5" customHeight="1" x14ac:dyDescent="0.3">
      <c r="A41" s="14"/>
      <c r="B41" s="17"/>
      <c r="C41" s="2"/>
      <c r="D41" s="22"/>
      <c r="E41" s="30" t="str">
        <f t="shared" ref="E41:O41" si="19">IF(E40&gt;=90,"A",IF(E40&gt;=80,"B",IF(E40&gt;=70,"C",IF(E40&gt;=60,"D","F"))))</f>
        <v>D</v>
      </c>
      <c r="F41" s="30" t="str">
        <f t="shared" si="19"/>
        <v>C</v>
      </c>
      <c r="G41" s="30" t="str">
        <f t="shared" si="19"/>
        <v>D</v>
      </c>
      <c r="H41" s="30" t="str">
        <f t="shared" si="19"/>
        <v>D</v>
      </c>
      <c r="I41" s="30" t="str">
        <f t="shared" si="19"/>
        <v>C</v>
      </c>
      <c r="J41" s="30" t="str">
        <f t="shared" si="19"/>
        <v>C</v>
      </c>
      <c r="K41" s="30" t="str">
        <f t="shared" si="19"/>
        <v>A</v>
      </c>
      <c r="L41" s="30" t="str">
        <f t="shared" si="19"/>
        <v>A</v>
      </c>
      <c r="M41" s="30" t="str">
        <f t="shared" si="19"/>
        <v>A</v>
      </c>
      <c r="N41" s="30" t="str">
        <f t="shared" si="19"/>
        <v>A</v>
      </c>
      <c r="O41" s="30" t="str">
        <f t="shared" si="19"/>
        <v>A</v>
      </c>
      <c r="P41" s="59"/>
    </row>
    <row r="42" spans="1:16" s="5" customFormat="1" ht="13.5" customHeight="1" x14ac:dyDescent="0.3">
      <c r="A42" s="14">
        <v>20</v>
      </c>
      <c r="B42" s="17" t="s">
        <v>198</v>
      </c>
      <c r="C42" s="2" t="s">
        <v>585</v>
      </c>
      <c r="D42" s="22" t="s">
        <v>376</v>
      </c>
      <c r="E42" s="30">
        <v>76</v>
      </c>
      <c r="F42" s="30">
        <v>71</v>
      </c>
      <c r="G42" s="30">
        <v>77</v>
      </c>
      <c r="H42" s="30">
        <v>80</v>
      </c>
      <c r="I42" s="30">
        <v>80</v>
      </c>
      <c r="J42" s="18">
        <v>86</v>
      </c>
      <c r="K42" s="30">
        <v>99</v>
      </c>
      <c r="L42" s="30">
        <v>100</v>
      </c>
      <c r="M42" s="30">
        <v>90</v>
      </c>
      <c r="N42" s="30">
        <v>100</v>
      </c>
      <c r="O42" s="30">
        <v>98</v>
      </c>
      <c r="P42" s="59">
        <f t="shared" si="1"/>
        <v>87</v>
      </c>
    </row>
    <row r="43" spans="1:16" s="5" customFormat="1" ht="13.5" customHeight="1" x14ac:dyDescent="0.3">
      <c r="A43" s="14"/>
      <c r="B43" s="17"/>
      <c r="C43" s="2"/>
      <c r="D43" s="22"/>
      <c r="E43" s="30" t="str">
        <f t="shared" ref="E43:O43" si="20">IF(E42&gt;=90,"A",IF(E42&gt;=80,"B",IF(E42&gt;=70,"C",IF(E42&gt;=60,"D","F"))))</f>
        <v>C</v>
      </c>
      <c r="F43" s="30" t="str">
        <f t="shared" si="20"/>
        <v>C</v>
      </c>
      <c r="G43" s="30" t="str">
        <f t="shared" si="20"/>
        <v>C</v>
      </c>
      <c r="H43" s="30" t="str">
        <f t="shared" si="20"/>
        <v>B</v>
      </c>
      <c r="I43" s="30" t="str">
        <f t="shared" si="20"/>
        <v>B</v>
      </c>
      <c r="J43" s="30" t="str">
        <f t="shared" si="20"/>
        <v>B</v>
      </c>
      <c r="K43" s="30" t="str">
        <f t="shared" si="20"/>
        <v>A</v>
      </c>
      <c r="L43" s="30" t="str">
        <f t="shared" si="20"/>
        <v>A</v>
      </c>
      <c r="M43" s="30" t="str">
        <f t="shared" si="20"/>
        <v>A</v>
      </c>
      <c r="N43" s="30" t="str">
        <f t="shared" si="20"/>
        <v>A</v>
      </c>
      <c r="O43" s="30" t="str">
        <f t="shared" si="20"/>
        <v>A</v>
      </c>
      <c r="P43" s="59"/>
    </row>
    <row r="44" spans="1:16" s="5" customFormat="1" ht="13.5" customHeight="1" x14ac:dyDescent="0.3">
      <c r="A44" s="14">
        <v>21</v>
      </c>
      <c r="B44" s="17" t="s">
        <v>199</v>
      </c>
      <c r="C44" s="2" t="s">
        <v>586</v>
      </c>
      <c r="D44" s="22" t="s">
        <v>376</v>
      </c>
      <c r="E44" s="30">
        <v>97</v>
      </c>
      <c r="F44" s="30">
        <v>94</v>
      </c>
      <c r="G44" s="30">
        <v>95</v>
      </c>
      <c r="H44" s="30">
        <v>97</v>
      </c>
      <c r="I44" s="30">
        <v>90</v>
      </c>
      <c r="J44" s="30">
        <v>97</v>
      </c>
      <c r="K44" s="30">
        <v>100</v>
      </c>
      <c r="L44" s="30">
        <v>100</v>
      </c>
      <c r="M44" s="30">
        <v>99</v>
      </c>
      <c r="N44" s="30">
        <v>96</v>
      </c>
      <c r="O44" s="30">
        <v>100</v>
      </c>
      <c r="P44" s="59">
        <f t="shared" si="1"/>
        <v>96.818181818181813</v>
      </c>
    </row>
    <row r="45" spans="1:16" s="5" customFormat="1" ht="13.5" customHeight="1" x14ac:dyDescent="0.3">
      <c r="A45" s="14"/>
      <c r="B45" s="17"/>
      <c r="C45" s="2"/>
      <c r="D45" s="22"/>
      <c r="E45" s="30" t="str">
        <f t="shared" ref="E45:O45" si="21">IF(E44&gt;=90,"A",IF(E44&gt;=80,"B",IF(E44&gt;=70,"C",IF(E44&gt;=60,"D","F"))))</f>
        <v>A</v>
      </c>
      <c r="F45" s="30" t="str">
        <f t="shared" si="21"/>
        <v>A</v>
      </c>
      <c r="G45" s="30" t="str">
        <f t="shared" si="21"/>
        <v>A</v>
      </c>
      <c r="H45" s="30" t="str">
        <f t="shared" si="21"/>
        <v>A</v>
      </c>
      <c r="I45" s="30" t="str">
        <f t="shared" si="21"/>
        <v>A</v>
      </c>
      <c r="J45" s="30" t="str">
        <f t="shared" si="21"/>
        <v>A</v>
      </c>
      <c r="K45" s="30" t="str">
        <f t="shared" si="21"/>
        <v>A</v>
      </c>
      <c r="L45" s="30" t="str">
        <f t="shared" si="21"/>
        <v>A</v>
      </c>
      <c r="M45" s="30" t="str">
        <f t="shared" si="21"/>
        <v>A</v>
      </c>
      <c r="N45" s="30" t="str">
        <f t="shared" si="21"/>
        <v>A</v>
      </c>
      <c r="O45" s="30" t="str">
        <f t="shared" si="21"/>
        <v>A</v>
      </c>
      <c r="P45" s="59"/>
    </row>
    <row r="46" spans="1:16" s="5" customFormat="1" ht="13.5" customHeight="1" x14ac:dyDescent="0.3">
      <c r="A46" s="14">
        <v>22</v>
      </c>
      <c r="B46" s="17" t="s">
        <v>200</v>
      </c>
      <c r="C46" s="2" t="s">
        <v>587</v>
      </c>
      <c r="D46" s="22" t="s">
        <v>376</v>
      </c>
      <c r="E46" s="18">
        <v>70</v>
      </c>
      <c r="F46" s="30">
        <v>86</v>
      </c>
      <c r="G46" s="18">
        <v>75</v>
      </c>
      <c r="H46" s="18">
        <v>73</v>
      </c>
      <c r="I46" s="18">
        <v>70</v>
      </c>
      <c r="J46" s="30">
        <v>83</v>
      </c>
      <c r="K46" s="18">
        <v>93</v>
      </c>
      <c r="L46" s="18">
        <v>99</v>
      </c>
      <c r="M46" s="18">
        <v>87</v>
      </c>
      <c r="N46" s="18">
        <v>100</v>
      </c>
      <c r="O46" s="30">
        <v>94</v>
      </c>
      <c r="P46" s="59">
        <f t="shared" si="1"/>
        <v>84.545454545454547</v>
      </c>
    </row>
    <row r="47" spans="1:16" s="5" customFormat="1" ht="13.5" customHeight="1" x14ac:dyDescent="0.3">
      <c r="A47" s="14"/>
      <c r="B47" s="17"/>
      <c r="C47" s="2"/>
      <c r="D47" s="22"/>
      <c r="E47" s="30" t="str">
        <f t="shared" ref="E47:O47" si="22">IF(E46&gt;=90,"A",IF(E46&gt;=80,"B",IF(E46&gt;=70,"C",IF(E46&gt;=60,"D","F"))))</f>
        <v>C</v>
      </c>
      <c r="F47" s="30" t="str">
        <f t="shared" si="22"/>
        <v>B</v>
      </c>
      <c r="G47" s="30" t="str">
        <f t="shared" si="22"/>
        <v>C</v>
      </c>
      <c r="H47" s="30" t="str">
        <f t="shared" si="22"/>
        <v>C</v>
      </c>
      <c r="I47" s="30" t="str">
        <f t="shared" si="22"/>
        <v>C</v>
      </c>
      <c r="J47" s="30" t="str">
        <f t="shared" si="22"/>
        <v>B</v>
      </c>
      <c r="K47" s="30" t="str">
        <f t="shared" si="22"/>
        <v>A</v>
      </c>
      <c r="L47" s="30" t="str">
        <f t="shared" si="22"/>
        <v>A</v>
      </c>
      <c r="M47" s="30" t="str">
        <f t="shared" si="22"/>
        <v>B</v>
      </c>
      <c r="N47" s="30" t="str">
        <f t="shared" si="22"/>
        <v>A</v>
      </c>
      <c r="O47" s="30" t="str">
        <f t="shared" si="22"/>
        <v>A</v>
      </c>
      <c r="P47" s="59"/>
    </row>
    <row r="48" spans="1:16" s="5" customFormat="1" ht="13.5" customHeight="1" x14ac:dyDescent="0.3">
      <c r="A48" s="14">
        <v>23</v>
      </c>
      <c r="B48" s="15" t="s">
        <v>422</v>
      </c>
      <c r="C48" s="2" t="s">
        <v>588</v>
      </c>
      <c r="D48" s="10" t="s">
        <v>376</v>
      </c>
      <c r="E48" s="18">
        <v>82</v>
      </c>
      <c r="F48" s="30">
        <v>96</v>
      </c>
      <c r="G48" s="18">
        <v>82</v>
      </c>
      <c r="H48" s="18">
        <v>93</v>
      </c>
      <c r="I48" s="18">
        <v>90</v>
      </c>
      <c r="J48" s="18">
        <v>94</v>
      </c>
      <c r="K48" s="15">
        <v>100</v>
      </c>
      <c r="L48" s="15">
        <v>98</v>
      </c>
      <c r="M48" s="15">
        <v>93</v>
      </c>
      <c r="N48" s="15">
        <v>100</v>
      </c>
      <c r="O48" s="30">
        <v>96</v>
      </c>
      <c r="P48" s="59">
        <f t="shared" si="1"/>
        <v>93.090909090909093</v>
      </c>
    </row>
    <row r="49" spans="1:16" s="5" customFormat="1" ht="13.5" customHeight="1" x14ac:dyDescent="0.3">
      <c r="A49" s="14"/>
      <c r="B49" s="15"/>
      <c r="C49" s="2"/>
      <c r="D49" s="10"/>
      <c r="E49" s="30" t="str">
        <f t="shared" ref="E49:O49" si="23">IF(E48&gt;=90,"A",IF(E48&gt;=80,"B",IF(E48&gt;=70,"C",IF(E48&gt;=60,"D","F"))))</f>
        <v>B</v>
      </c>
      <c r="F49" s="30" t="str">
        <f t="shared" si="23"/>
        <v>A</v>
      </c>
      <c r="G49" s="30" t="str">
        <f t="shared" si="23"/>
        <v>B</v>
      </c>
      <c r="H49" s="30" t="str">
        <f t="shared" si="23"/>
        <v>A</v>
      </c>
      <c r="I49" s="30" t="str">
        <f t="shared" si="23"/>
        <v>A</v>
      </c>
      <c r="J49" s="30" t="str">
        <f t="shared" si="23"/>
        <v>A</v>
      </c>
      <c r="K49" s="30" t="str">
        <f t="shared" si="23"/>
        <v>A</v>
      </c>
      <c r="L49" s="30" t="str">
        <f t="shared" si="23"/>
        <v>A</v>
      </c>
      <c r="M49" s="30" t="str">
        <f t="shared" si="23"/>
        <v>A</v>
      </c>
      <c r="N49" s="30" t="str">
        <f t="shared" si="23"/>
        <v>A</v>
      </c>
      <c r="O49" s="30" t="str">
        <f t="shared" si="23"/>
        <v>A</v>
      </c>
      <c r="P49" s="59"/>
    </row>
    <row r="50" spans="1:16" s="5" customFormat="1" ht="13.5" customHeight="1" x14ac:dyDescent="0.3">
      <c r="A50" s="14">
        <v>24</v>
      </c>
      <c r="B50" s="17" t="s">
        <v>202</v>
      </c>
      <c r="C50" s="81"/>
      <c r="D50" s="22" t="s">
        <v>375</v>
      </c>
      <c r="E50" s="18">
        <v>66</v>
      </c>
      <c r="F50" s="30">
        <v>83</v>
      </c>
      <c r="G50" s="18">
        <v>77</v>
      </c>
      <c r="H50" s="18">
        <v>80</v>
      </c>
      <c r="I50" s="18">
        <v>85</v>
      </c>
      <c r="J50" s="18">
        <v>76</v>
      </c>
      <c r="K50" s="15">
        <v>96</v>
      </c>
      <c r="L50" s="15">
        <v>100</v>
      </c>
      <c r="M50" s="15">
        <v>97</v>
      </c>
      <c r="N50" s="15">
        <v>100</v>
      </c>
      <c r="O50" s="30">
        <v>98</v>
      </c>
      <c r="P50" s="59">
        <f t="shared" si="1"/>
        <v>87.090909090909093</v>
      </c>
    </row>
    <row r="51" spans="1:16" s="5" customFormat="1" ht="13.5" customHeight="1" x14ac:dyDescent="0.3">
      <c r="A51" s="14"/>
      <c r="B51" s="17"/>
      <c r="C51" s="17"/>
      <c r="D51" s="22"/>
      <c r="E51" s="30" t="str">
        <f t="shared" ref="E51:O51" si="24">IF(E50&gt;=90,"A",IF(E50&gt;=80,"B",IF(E50&gt;=70,"C",IF(E50&gt;=60,"D","F"))))</f>
        <v>D</v>
      </c>
      <c r="F51" s="30" t="str">
        <f t="shared" si="24"/>
        <v>B</v>
      </c>
      <c r="G51" s="30" t="str">
        <f t="shared" si="24"/>
        <v>C</v>
      </c>
      <c r="H51" s="30" t="str">
        <f t="shared" si="24"/>
        <v>B</v>
      </c>
      <c r="I51" s="30" t="str">
        <f t="shared" si="24"/>
        <v>B</v>
      </c>
      <c r="J51" s="30" t="str">
        <f t="shared" si="24"/>
        <v>C</v>
      </c>
      <c r="K51" s="30" t="str">
        <f t="shared" si="24"/>
        <v>A</v>
      </c>
      <c r="L51" s="30" t="str">
        <f t="shared" si="24"/>
        <v>A</v>
      </c>
      <c r="M51" s="30" t="str">
        <f t="shared" si="24"/>
        <v>A</v>
      </c>
      <c r="N51" s="30" t="str">
        <f t="shared" si="24"/>
        <v>A</v>
      </c>
      <c r="O51" s="30" t="str">
        <f t="shared" si="24"/>
        <v>A</v>
      </c>
      <c r="P51" s="59"/>
    </row>
    <row r="52" spans="1:16" s="5" customFormat="1" ht="13.5" customHeight="1" x14ac:dyDescent="0.3">
      <c r="A52" s="14">
        <v>25</v>
      </c>
      <c r="B52" s="17" t="s">
        <v>201</v>
      </c>
      <c r="C52" s="82"/>
      <c r="D52" s="22" t="s">
        <v>375</v>
      </c>
      <c r="E52" s="30">
        <v>97</v>
      </c>
      <c r="F52" s="30">
        <v>93</v>
      </c>
      <c r="G52" s="30">
        <v>100</v>
      </c>
      <c r="H52" s="30">
        <v>100</v>
      </c>
      <c r="I52" s="30">
        <v>99</v>
      </c>
      <c r="J52" s="18">
        <v>95</v>
      </c>
      <c r="K52" s="18">
        <v>100</v>
      </c>
      <c r="L52" s="18">
        <v>99</v>
      </c>
      <c r="M52" s="18">
        <v>100</v>
      </c>
      <c r="N52" s="18">
        <v>98</v>
      </c>
      <c r="O52" s="30">
        <v>100</v>
      </c>
      <c r="P52" s="59">
        <f t="shared" si="1"/>
        <v>98.272727272727266</v>
      </c>
    </row>
    <row r="53" spans="1:16" s="5" customFormat="1" ht="13.5" customHeight="1" x14ac:dyDescent="0.3">
      <c r="A53" s="14"/>
      <c r="B53" s="17"/>
      <c r="C53" s="17"/>
      <c r="D53" s="22"/>
      <c r="E53" s="30" t="str">
        <f t="shared" ref="E53:O53" si="25">IF(E52&gt;=90,"A",IF(E52&gt;=80,"B",IF(E52&gt;=70,"C",IF(E52&gt;=60,"D","F"))))</f>
        <v>A</v>
      </c>
      <c r="F53" s="30" t="str">
        <f t="shared" si="25"/>
        <v>A</v>
      </c>
      <c r="G53" s="30" t="str">
        <f t="shared" si="25"/>
        <v>A</v>
      </c>
      <c r="H53" s="30" t="str">
        <f t="shared" si="25"/>
        <v>A</v>
      </c>
      <c r="I53" s="30" t="str">
        <f t="shared" si="25"/>
        <v>A</v>
      </c>
      <c r="J53" s="30" t="str">
        <f t="shared" si="25"/>
        <v>A</v>
      </c>
      <c r="K53" s="30" t="str">
        <f t="shared" si="25"/>
        <v>A</v>
      </c>
      <c r="L53" s="30" t="str">
        <f t="shared" si="25"/>
        <v>A</v>
      </c>
      <c r="M53" s="30" t="str">
        <f t="shared" si="25"/>
        <v>A</v>
      </c>
      <c r="N53" s="30" t="str">
        <f t="shared" si="25"/>
        <v>A</v>
      </c>
      <c r="O53" s="30" t="str">
        <f t="shared" si="25"/>
        <v>A</v>
      </c>
      <c r="P53" s="59"/>
    </row>
    <row r="54" spans="1:16" s="5" customFormat="1" ht="13.5" customHeight="1" x14ac:dyDescent="0.3">
      <c r="A54" s="14">
        <v>26</v>
      </c>
      <c r="B54" s="17" t="s">
        <v>203</v>
      </c>
      <c r="C54" s="2" t="s">
        <v>589</v>
      </c>
      <c r="D54" s="22" t="s">
        <v>375</v>
      </c>
      <c r="E54" s="30">
        <v>70</v>
      </c>
      <c r="F54" s="30">
        <v>48</v>
      </c>
      <c r="G54" s="30">
        <v>62</v>
      </c>
      <c r="H54" s="30">
        <v>71</v>
      </c>
      <c r="I54" s="30">
        <v>66</v>
      </c>
      <c r="J54" s="30">
        <v>77</v>
      </c>
      <c r="K54" s="30">
        <v>94</v>
      </c>
      <c r="L54" s="30">
        <v>100</v>
      </c>
      <c r="M54" s="30">
        <v>84</v>
      </c>
      <c r="N54" s="30">
        <v>100</v>
      </c>
      <c r="O54" s="30">
        <v>98</v>
      </c>
      <c r="P54" s="59">
        <f t="shared" si="1"/>
        <v>79.090909090909093</v>
      </c>
    </row>
    <row r="55" spans="1:16" s="5" customFormat="1" ht="13.5" customHeight="1" x14ac:dyDescent="0.3">
      <c r="A55" s="22"/>
      <c r="B55" s="15"/>
      <c r="C55" s="15"/>
      <c r="D55" s="22"/>
      <c r="E55" s="30" t="str">
        <f t="shared" ref="E55:O55" si="26">IF(E54&gt;=90,"A",IF(E54&gt;=80,"B",IF(E54&gt;=70,"C",IF(E54&gt;=60,"D","F"))))</f>
        <v>C</v>
      </c>
      <c r="F55" s="30" t="str">
        <f t="shared" si="26"/>
        <v>F</v>
      </c>
      <c r="G55" s="30" t="str">
        <f t="shared" si="26"/>
        <v>D</v>
      </c>
      <c r="H55" s="30" t="str">
        <f t="shared" si="26"/>
        <v>C</v>
      </c>
      <c r="I55" s="30" t="str">
        <f t="shared" si="26"/>
        <v>D</v>
      </c>
      <c r="J55" s="30" t="str">
        <f t="shared" si="26"/>
        <v>C</v>
      </c>
      <c r="K55" s="30" t="str">
        <f t="shared" si="26"/>
        <v>A</v>
      </c>
      <c r="L55" s="30" t="str">
        <f t="shared" si="26"/>
        <v>A</v>
      </c>
      <c r="M55" s="30" t="str">
        <f t="shared" si="26"/>
        <v>B</v>
      </c>
      <c r="N55" s="30" t="str">
        <f t="shared" si="26"/>
        <v>A</v>
      </c>
      <c r="O55" s="30" t="str">
        <f t="shared" si="26"/>
        <v>A</v>
      </c>
      <c r="P55" s="59"/>
    </row>
  </sheetData>
  <sheetProtection formatCells="0" formatColumns="0" formatRows="0" insertColumns="0" insertRows="0" insertHyperlinks="0" deleteColumns="0" deleteRows="0" sort="0" autoFilter="0" pivotTables="0"/>
  <autoFilter ref="A1:D55" xr:uid="{00000000-0009-0000-0000-00000D000000}">
    <filterColumn colId="0" showButton="0"/>
  </autoFilter>
  <mergeCells count="1">
    <mergeCell ref="A1:B2"/>
  </mergeCells>
  <pageMargins left="0.23" right="0.17" top="0.31" bottom="0" header="0.17" footer="0.3"/>
  <pageSetup paperSize="9" orientation="landscape" r:id="rId1"/>
  <headerFooter>
    <oddFooter xml:space="preserve">&amp;C
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51"/>
  <sheetViews>
    <sheetView topLeftCell="A14" zoomScaleNormal="100" workbookViewId="0">
      <selection activeCell="G33" sqref="G33"/>
    </sheetView>
  </sheetViews>
  <sheetFormatPr defaultRowHeight="15" x14ac:dyDescent="0.25"/>
  <cols>
    <col min="1" max="1" width="4.85546875" style="13" customWidth="1"/>
    <col min="2" max="2" width="20.42578125" style="28" customWidth="1"/>
    <col min="3" max="3" width="11.140625" style="28" bestFit="1" customWidth="1"/>
    <col min="4" max="4" width="4.5703125" style="7" customWidth="1"/>
    <col min="5" max="5" width="8.7109375" style="28" customWidth="1"/>
    <col min="6" max="6" width="9.5703125" style="28" customWidth="1"/>
    <col min="7" max="7" width="12.42578125" style="28" bestFit="1" customWidth="1"/>
    <col min="8" max="8" width="8.85546875" style="28" customWidth="1"/>
    <col min="9" max="9" width="13.28515625" style="28" bestFit="1" customWidth="1"/>
    <col min="10" max="10" width="9.28515625" style="28" customWidth="1"/>
    <col min="11" max="11" width="9.42578125" style="28" customWidth="1"/>
    <col min="12" max="12" width="10.28515625" style="28" customWidth="1"/>
    <col min="13" max="13" width="9.42578125" style="28" customWidth="1"/>
    <col min="14" max="15" width="10.28515625" style="28" customWidth="1"/>
    <col min="16" max="16" width="10.42578125" style="2" bestFit="1" customWidth="1"/>
    <col min="17" max="16384" width="9.140625" style="2"/>
  </cols>
  <sheetData>
    <row r="1" spans="1:16" ht="6" customHeight="1" x14ac:dyDescent="0.25">
      <c r="A1" s="85" t="s">
        <v>590</v>
      </c>
      <c r="B1" s="86"/>
      <c r="C1" s="80"/>
    </row>
    <row r="2" spans="1:16" ht="10.5" customHeight="1" x14ac:dyDescent="0.25">
      <c r="A2" s="87"/>
      <c r="B2" s="88"/>
      <c r="C2" s="80"/>
    </row>
    <row r="3" spans="1:16" ht="15.75" customHeight="1" x14ac:dyDescent="0.25">
      <c r="A3" s="23" t="s">
        <v>0</v>
      </c>
      <c r="B3" s="24" t="s">
        <v>1</v>
      </c>
      <c r="C3" s="24"/>
      <c r="D3" s="20" t="s">
        <v>2</v>
      </c>
      <c r="E3" s="29" t="s">
        <v>426</v>
      </c>
      <c r="F3" s="29" t="s">
        <v>427</v>
      </c>
      <c r="G3" s="29" t="s">
        <v>456</v>
      </c>
      <c r="H3" s="29" t="s">
        <v>423</v>
      </c>
      <c r="I3" s="29" t="s">
        <v>827</v>
      </c>
      <c r="J3" s="29" t="s">
        <v>431</v>
      </c>
      <c r="K3" s="29" t="s">
        <v>432</v>
      </c>
      <c r="L3" s="29" t="s">
        <v>445</v>
      </c>
      <c r="M3" s="29" t="s">
        <v>424</v>
      </c>
      <c r="N3" s="29" t="s">
        <v>425</v>
      </c>
      <c r="O3" s="50" t="s">
        <v>438</v>
      </c>
      <c r="P3" s="29" t="s">
        <v>450</v>
      </c>
    </row>
    <row r="4" spans="1:16" s="5" customFormat="1" ht="13.5" customHeight="1" x14ac:dyDescent="0.3">
      <c r="A4" s="14">
        <v>1</v>
      </c>
      <c r="B4" s="16" t="s">
        <v>204</v>
      </c>
      <c r="C4" s="2" t="s">
        <v>591</v>
      </c>
      <c r="D4" s="22" t="s">
        <v>375</v>
      </c>
      <c r="E4" s="18">
        <v>83</v>
      </c>
      <c r="F4" s="18">
        <v>89</v>
      </c>
      <c r="G4" s="18">
        <v>83</v>
      </c>
      <c r="H4" s="18">
        <v>90</v>
      </c>
      <c r="I4" s="18">
        <v>84</v>
      </c>
      <c r="J4" s="18">
        <v>96</v>
      </c>
      <c r="K4" s="18">
        <v>100</v>
      </c>
      <c r="L4" s="18">
        <v>98</v>
      </c>
      <c r="M4" s="18">
        <v>98</v>
      </c>
      <c r="N4" s="18">
        <v>98</v>
      </c>
      <c r="O4" s="18">
        <v>100</v>
      </c>
      <c r="P4" s="59">
        <f>AVERAGE(E4:O4)</f>
        <v>92.63636363636364</v>
      </c>
    </row>
    <row r="5" spans="1:16" s="5" customFormat="1" ht="13.5" customHeight="1" x14ac:dyDescent="0.3">
      <c r="A5" s="14"/>
      <c r="B5" s="16"/>
      <c r="C5" s="2"/>
      <c r="D5" s="22"/>
      <c r="E5" s="30" t="str">
        <f t="shared" ref="E5:O5" si="0">IF(E4&gt;=90,"A",IF(E4&gt;=80,"B",IF(E4&gt;=70,"C",IF(E4&gt;=60,"D","F"))))</f>
        <v>B</v>
      </c>
      <c r="F5" s="30" t="str">
        <f t="shared" si="0"/>
        <v>B</v>
      </c>
      <c r="G5" s="30" t="str">
        <f t="shared" si="0"/>
        <v>B</v>
      </c>
      <c r="H5" s="30" t="str">
        <f t="shared" si="0"/>
        <v>A</v>
      </c>
      <c r="I5" s="30" t="str">
        <f t="shared" si="0"/>
        <v>B</v>
      </c>
      <c r="J5" s="30" t="str">
        <f t="shared" si="0"/>
        <v>A</v>
      </c>
      <c r="K5" s="30" t="str">
        <f t="shared" si="0"/>
        <v>A</v>
      </c>
      <c r="L5" s="30" t="str">
        <f t="shared" si="0"/>
        <v>A</v>
      </c>
      <c r="M5" s="30" t="str">
        <f t="shared" si="0"/>
        <v>A</v>
      </c>
      <c r="N5" s="30" t="str">
        <f t="shared" si="0"/>
        <v>A</v>
      </c>
      <c r="O5" s="30" t="str">
        <f t="shared" si="0"/>
        <v>A</v>
      </c>
      <c r="P5" s="59"/>
    </row>
    <row r="6" spans="1:16" s="5" customFormat="1" ht="13.5" customHeight="1" x14ac:dyDescent="0.3">
      <c r="A6" s="14">
        <v>2</v>
      </c>
      <c r="B6" s="16" t="s">
        <v>15</v>
      </c>
      <c r="C6" s="2" t="s">
        <v>592</v>
      </c>
      <c r="D6" s="22" t="s">
        <v>376</v>
      </c>
      <c r="E6" s="30">
        <v>84</v>
      </c>
      <c r="F6" s="30">
        <v>93</v>
      </c>
      <c r="G6" s="30">
        <v>76</v>
      </c>
      <c r="H6" s="30">
        <v>93</v>
      </c>
      <c r="I6" s="30">
        <v>82</v>
      </c>
      <c r="J6" s="30">
        <v>94</v>
      </c>
      <c r="K6" s="30">
        <v>100</v>
      </c>
      <c r="L6" s="30">
        <v>98</v>
      </c>
      <c r="M6" s="30">
        <v>100</v>
      </c>
      <c r="N6" s="30">
        <v>100</v>
      </c>
      <c r="O6" s="18">
        <v>98</v>
      </c>
      <c r="P6" s="59">
        <f>AVERAGE(E6:O6)</f>
        <v>92.545454545454547</v>
      </c>
    </row>
    <row r="7" spans="1:16" s="5" customFormat="1" ht="13.5" customHeight="1" x14ac:dyDescent="0.3">
      <c r="A7" s="14"/>
      <c r="B7" s="16"/>
      <c r="C7" s="2"/>
      <c r="D7" s="22"/>
      <c r="E7" s="30" t="str">
        <f t="shared" ref="E7:O7" si="1">IF(E6&gt;=90,"A",IF(E6&gt;=80,"B",IF(E6&gt;=70,"C",IF(E6&gt;=60,"D","F"))))</f>
        <v>B</v>
      </c>
      <c r="F7" s="30" t="str">
        <f t="shared" si="1"/>
        <v>A</v>
      </c>
      <c r="G7" s="30" t="str">
        <f t="shared" si="1"/>
        <v>C</v>
      </c>
      <c r="H7" s="30" t="str">
        <f t="shared" si="1"/>
        <v>A</v>
      </c>
      <c r="I7" s="30" t="str">
        <f t="shared" si="1"/>
        <v>B</v>
      </c>
      <c r="J7" s="30" t="str">
        <f t="shared" si="1"/>
        <v>A</v>
      </c>
      <c r="K7" s="30" t="str">
        <f t="shared" si="1"/>
        <v>A</v>
      </c>
      <c r="L7" s="30" t="str">
        <f t="shared" si="1"/>
        <v>A</v>
      </c>
      <c r="M7" s="30" t="str">
        <f t="shared" si="1"/>
        <v>A</v>
      </c>
      <c r="N7" s="30" t="str">
        <f t="shared" si="1"/>
        <v>A</v>
      </c>
      <c r="O7" s="30" t="str">
        <f t="shared" si="1"/>
        <v>A</v>
      </c>
      <c r="P7" s="59"/>
    </row>
    <row r="8" spans="1:16" s="5" customFormat="1" ht="13.5" customHeight="1" x14ac:dyDescent="0.3">
      <c r="A8" s="14">
        <v>3</v>
      </c>
      <c r="B8" s="16" t="s">
        <v>16</v>
      </c>
      <c r="C8" s="2" t="s">
        <v>593</v>
      </c>
      <c r="D8" s="22" t="s">
        <v>375</v>
      </c>
      <c r="E8" s="30">
        <v>68</v>
      </c>
      <c r="F8" s="30">
        <v>77</v>
      </c>
      <c r="G8" s="30">
        <v>73</v>
      </c>
      <c r="H8" s="30">
        <v>76</v>
      </c>
      <c r="I8" s="30">
        <v>82</v>
      </c>
      <c r="J8" s="30">
        <v>88</v>
      </c>
      <c r="K8" s="30">
        <v>97</v>
      </c>
      <c r="L8" s="30">
        <v>100</v>
      </c>
      <c r="M8" s="30">
        <v>84</v>
      </c>
      <c r="N8" s="30">
        <v>100</v>
      </c>
      <c r="O8" s="18">
        <v>100</v>
      </c>
      <c r="P8" s="59">
        <f>AVERAGE(E8:O8)</f>
        <v>85.909090909090907</v>
      </c>
    </row>
    <row r="9" spans="1:16" s="5" customFormat="1" ht="13.5" customHeight="1" x14ac:dyDescent="0.3">
      <c r="A9" s="14"/>
      <c r="B9" s="16"/>
      <c r="C9" s="2"/>
      <c r="D9" s="22"/>
      <c r="E9" s="30" t="str">
        <f t="shared" ref="E9:O9" si="2">IF(E8&gt;=90,"A",IF(E8&gt;=80,"B",IF(E8&gt;=70,"C",IF(E8&gt;=60,"D","F"))))</f>
        <v>D</v>
      </c>
      <c r="F9" s="30" t="str">
        <f t="shared" si="2"/>
        <v>C</v>
      </c>
      <c r="G9" s="30" t="str">
        <f t="shared" si="2"/>
        <v>C</v>
      </c>
      <c r="H9" s="30" t="str">
        <f t="shared" si="2"/>
        <v>C</v>
      </c>
      <c r="I9" s="30" t="str">
        <f t="shared" si="2"/>
        <v>B</v>
      </c>
      <c r="J9" s="30" t="str">
        <f t="shared" si="2"/>
        <v>B</v>
      </c>
      <c r="K9" s="30" t="str">
        <f t="shared" si="2"/>
        <v>A</v>
      </c>
      <c r="L9" s="30" t="str">
        <f t="shared" si="2"/>
        <v>A</v>
      </c>
      <c r="M9" s="30" t="str">
        <f t="shared" si="2"/>
        <v>B</v>
      </c>
      <c r="N9" s="30" t="str">
        <f t="shared" si="2"/>
        <v>A</v>
      </c>
      <c r="O9" s="30" t="str">
        <f t="shared" si="2"/>
        <v>A</v>
      </c>
      <c r="P9" s="59"/>
    </row>
    <row r="10" spans="1:16" s="5" customFormat="1" ht="13.5" customHeight="1" x14ac:dyDescent="0.3">
      <c r="A10" s="14">
        <v>4</v>
      </c>
      <c r="B10" s="16" t="s">
        <v>20</v>
      </c>
      <c r="C10" s="2" t="s">
        <v>594</v>
      </c>
      <c r="D10" s="22" t="s">
        <v>375</v>
      </c>
      <c r="E10" s="30">
        <v>82</v>
      </c>
      <c r="F10" s="30">
        <v>84</v>
      </c>
      <c r="G10" s="30">
        <v>82</v>
      </c>
      <c r="H10" s="30">
        <v>84</v>
      </c>
      <c r="I10" s="30">
        <v>89</v>
      </c>
      <c r="J10" s="30">
        <v>94</v>
      </c>
      <c r="K10" s="30">
        <v>100</v>
      </c>
      <c r="L10" s="30">
        <v>98</v>
      </c>
      <c r="M10" s="30">
        <v>91</v>
      </c>
      <c r="N10" s="30">
        <v>99</v>
      </c>
      <c r="O10" s="18">
        <v>100</v>
      </c>
      <c r="P10" s="59">
        <f>AVERAGE(E10:O10)</f>
        <v>91.181818181818187</v>
      </c>
    </row>
    <row r="11" spans="1:16" s="5" customFormat="1" ht="13.5" customHeight="1" x14ac:dyDescent="0.3">
      <c r="A11" s="14"/>
      <c r="B11" s="16"/>
      <c r="C11" s="2"/>
      <c r="D11" s="22"/>
      <c r="E11" s="30" t="str">
        <f t="shared" ref="E11:O11" si="3">IF(E10&gt;=90,"A",IF(E10&gt;=80,"B",IF(E10&gt;=70,"C",IF(E10&gt;=60,"D","F"))))</f>
        <v>B</v>
      </c>
      <c r="F11" s="30" t="str">
        <f t="shared" si="3"/>
        <v>B</v>
      </c>
      <c r="G11" s="30" t="str">
        <f t="shared" si="3"/>
        <v>B</v>
      </c>
      <c r="H11" s="30" t="str">
        <f t="shared" si="3"/>
        <v>B</v>
      </c>
      <c r="I11" s="30" t="str">
        <f t="shared" si="3"/>
        <v>B</v>
      </c>
      <c r="J11" s="30" t="str">
        <f t="shared" si="3"/>
        <v>A</v>
      </c>
      <c r="K11" s="30" t="str">
        <f t="shared" si="3"/>
        <v>A</v>
      </c>
      <c r="L11" s="30" t="str">
        <f t="shared" si="3"/>
        <v>A</v>
      </c>
      <c r="M11" s="30" t="str">
        <f t="shared" si="3"/>
        <v>A</v>
      </c>
      <c r="N11" s="30" t="str">
        <f t="shared" si="3"/>
        <v>A</v>
      </c>
      <c r="O11" s="30" t="str">
        <f t="shared" si="3"/>
        <v>A</v>
      </c>
      <c r="P11" s="59"/>
    </row>
    <row r="12" spans="1:16" s="5" customFormat="1" ht="13.5" customHeight="1" x14ac:dyDescent="0.3">
      <c r="A12" s="14">
        <v>5</v>
      </c>
      <c r="B12" s="16" t="s">
        <v>205</v>
      </c>
      <c r="C12" s="2" t="s">
        <v>595</v>
      </c>
      <c r="D12" s="22" t="s">
        <v>376</v>
      </c>
      <c r="E12" s="18">
        <v>97</v>
      </c>
      <c r="F12" s="18">
        <v>96</v>
      </c>
      <c r="G12" s="18">
        <v>98</v>
      </c>
      <c r="H12" s="18">
        <v>95</v>
      </c>
      <c r="I12" s="18">
        <v>94</v>
      </c>
      <c r="J12" s="18">
        <v>100</v>
      </c>
      <c r="K12" s="30">
        <v>100</v>
      </c>
      <c r="L12" s="30">
        <v>100</v>
      </c>
      <c r="M12" s="30">
        <v>93</v>
      </c>
      <c r="N12" s="30">
        <v>99</v>
      </c>
      <c r="O12" s="18">
        <v>98</v>
      </c>
      <c r="P12" s="59">
        <f>AVERAGE(E12:O12)</f>
        <v>97.272727272727266</v>
      </c>
    </row>
    <row r="13" spans="1:16" s="5" customFormat="1" ht="13.5" customHeight="1" x14ac:dyDescent="0.3">
      <c r="A13" s="14"/>
      <c r="B13" s="16"/>
      <c r="C13" s="2"/>
      <c r="D13" s="22"/>
      <c r="E13" s="30" t="str">
        <f t="shared" ref="E13:O13" si="4">IF(E12&gt;=90,"A",IF(E12&gt;=80,"B",IF(E12&gt;=70,"C",IF(E12&gt;=60,"D","F"))))</f>
        <v>A</v>
      </c>
      <c r="F13" s="30" t="str">
        <f t="shared" si="4"/>
        <v>A</v>
      </c>
      <c r="G13" s="30" t="str">
        <f t="shared" si="4"/>
        <v>A</v>
      </c>
      <c r="H13" s="30" t="str">
        <f t="shared" si="4"/>
        <v>A</v>
      </c>
      <c r="I13" s="30" t="str">
        <f t="shared" si="4"/>
        <v>A</v>
      </c>
      <c r="J13" s="30" t="str">
        <f t="shared" si="4"/>
        <v>A</v>
      </c>
      <c r="K13" s="30" t="str">
        <f t="shared" si="4"/>
        <v>A</v>
      </c>
      <c r="L13" s="30" t="str">
        <f t="shared" si="4"/>
        <v>A</v>
      </c>
      <c r="M13" s="30" t="str">
        <f t="shared" si="4"/>
        <v>A</v>
      </c>
      <c r="N13" s="30" t="str">
        <f t="shared" si="4"/>
        <v>A</v>
      </c>
      <c r="O13" s="30" t="str">
        <f t="shared" si="4"/>
        <v>A</v>
      </c>
      <c r="P13" s="59"/>
    </row>
    <row r="14" spans="1:16" s="5" customFormat="1" ht="13.5" customHeight="1" x14ac:dyDescent="0.3">
      <c r="A14" s="14">
        <v>6</v>
      </c>
      <c r="B14" s="16" t="s">
        <v>21</v>
      </c>
      <c r="C14" s="2" t="s">
        <v>597</v>
      </c>
      <c r="D14" s="22" t="s">
        <v>376</v>
      </c>
      <c r="E14" s="18">
        <v>72</v>
      </c>
      <c r="F14" s="18">
        <v>81</v>
      </c>
      <c r="G14" s="18">
        <v>74</v>
      </c>
      <c r="H14" s="18">
        <v>75</v>
      </c>
      <c r="I14" s="18">
        <v>77</v>
      </c>
      <c r="J14" s="18">
        <v>80</v>
      </c>
      <c r="K14" s="18">
        <v>100</v>
      </c>
      <c r="L14" s="18">
        <v>99</v>
      </c>
      <c r="M14" s="18">
        <v>94</v>
      </c>
      <c r="N14" s="18">
        <v>100</v>
      </c>
      <c r="O14" s="18">
        <v>100</v>
      </c>
      <c r="P14" s="59">
        <f>AVERAGE(E14:O14)</f>
        <v>86.545454545454547</v>
      </c>
    </row>
    <row r="15" spans="1:16" s="5" customFormat="1" ht="13.5" customHeight="1" x14ac:dyDescent="0.3">
      <c r="A15" s="14"/>
      <c r="B15" s="16"/>
      <c r="D15" s="22"/>
      <c r="E15" s="30" t="str">
        <f t="shared" ref="E15:O15" si="5">IF(E14&gt;=90,"A",IF(E14&gt;=80,"B",IF(E14&gt;=70,"C",IF(E14&gt;=60,"D","F"))))</f>
        <v>C</v>
      </c>
      <c r="F15" s="30" t="str">
        <f t="shared" si="5"/>
        <v>B</v>
      </c>
      <c r="G15" s="30" t="str">
        <f t="shared" si="5"/>
        <v>C</v>
      </c>
      <c r="H15" s="30" t="str">
        <f t="shared" si="5"/>
        <v>C</v>
      </c>
      <c r="I15" s="30" t="str">
        <f t="shared" si="5"/>
        <v>C</v>
      </c>
      <c r="J15" s="30" t="str">
        <f t="shared" si="5"/>
        <v>B</v>
      </c>
      <c r="K15" s="30" t="str">
        <f t="shared" si="5"/>
        <v>A</v>
      </c>
      <c r="L15" s="30" t="str">
        <f t="shared" si="5"/>
        <v>A</v>
      </c>
      <c r="M15" s="30" t="str">
        <f t="shared" si="5"/>
        <v>A</v>
      </c>
      <c r="N15" s="30" t="str">
        <f t="shared" si="5"/>
        <v>A</v>
      </c>
      <c r="O15" s="30" t="str">
        <f t="shared" si="5"/>
        <v>A</v>
      </c>
      <c r="P15" s="59"/>
    </row>
    <row r="16" spans="1:16" s="5" customFormat="1" ht="13.5" customHeight="1" x14ac:dyDescent="0.3">
      <c r="A16" s="14">
        <v>7</v>
      </c>
      <c r="B16" s="16" t="s">
        <v>206</v>
      </c>
      <c r="C16" s="2" t="s">
        <v>596</v>
      </c>
      <c r="D16" s="22" t="s">
        <v>376</v>
      </c>
      <c r="E16" s="30">
        <v>86</v>
      </c>
      <c r="F16" s="30">
        <v>90</v>
      </c>
      <c r="G16" s="30">
        <v>84</v>
      </c>
      <c r="H16" s="30">
        <v>87</v>
      </c>
      <c r="I16" s="30">
        <v>77</v>
      </c>
      <c r="J16" s="30">
        <v>90</v>
      </c>
      <c r="K16" s="30">
        <v>100</v>
      </c>
      <c r="L16" s="30">
        <v>98</v>
      </c>
      <c r="M16" s="30">
        <v>95</v>
      </c>
      <c r="N16" s="30">
        <v>97</v>
      </c>
      <c r="O16" s="18">
        <v>98</v>
      </c>
      <c r="P16" s="59">
        <f>AVERAGE(E16:O16)</f>
        <v>91.090909090909093</v>
      </c>
    </row>
    <row r="17" spans="1:16" s="5" customFormat="1" ht="13.5" customHeight="1" x14ac:dyDescent="0.3">
      <c r="A17" s="14"/>
      <c r="B17" s="16"/>
      <c r="C17" s="2"/>
      <c r="D17" s="22"/>
      <c r="E17" s="30" t="str">
        <f t="shared" ref="E17:O17" si="6">IF(E16&gt;=90,"A",IF(E16&gt;=80,"B",IF(E16&gt;=70,"C",IF(E16&gt;=60,"D","F"))))</f>
        <v>B</v>
      </c>
      <c r="F17" s="30" t="str">
        <f t="shared" si="6"/>
        <v>A</v>
      </c>
      <c r="G17" s="30" t="str">
        <f t="shared" si="6"/>
        <v>B</v>
      </c>
      <c r="H17" s="30" t="str">
        <f t="shared" si="6"/>
        <v>B</v>
      </c>
      <c r="I17" s="30" t="str">
        <f t="shared" si="6"/>
        <v>C</v>
      </c>
      <c r="J17" s="30" t="str">
        <f t="shared" si="6"/>
        <v>A</v>
      </c>
      <c r="K17" s="30" t="str">
        <f t="shared" si="6"/>
        <v>A</v>
      </c>
      <c r="L17" s="30" t="str">
        <f t="shared" si="6"/>
        <v>A</v>
      </c>
      <c r="M17" s="30" t="str">
        <f t="shared" si="6"/>
        <v>A</v>
      </c>
      <c r="N17" s="30" t="str">
        <f t="shared" si="6"/>
        <v>A</v>
      </c>
      <c r="O17" s="30" t="str">
        <f t="shared" si="6"/>
        <v>A</v>
      </c>
      <c r="P17" s="59"/>
    </row>
    <row r="18" spans="1:16" s="5" customFormat="1" ht="13.5" customHeight="1" x14ac:dyDescent="0.3">
      <c r="A18" s="14">
        <v>8</v>
      </c>
      <c r="B18" s="16" t="s">
        <v>207</v>
      </c>
      <c r="C18" s="2" t="s">
        <v>598</v>
      </c>
      <c r="D18" s="22" t="s">
        <v>376</v>
      </c>
      <c r="E18" s="30">
        <v>61</v>
      </c>
      <c r="F18" s="30">
        <v>86</v>
      </c>
      <c r="G18" s="30">
        <v>62</v>
      </c>
      <c r="H18" s="30">
        <v>70</v>
      </c>
      <c r="I18" s="30">
        <v>63</v>
      </c>
      <c r="J18" s="30">
        <v>90</v>
      </c>
      <c r="K18" s="30">
        <v>100</v>
      </c>
      <c r="L18" s="30">
        <v>99</v>
      </c>
      <c r="M18" s="30">
        <v>90</v>
      </c>
      <c r="N18" s="30">
        <v>100</v>
      </c>
      <c r="O18" s="18">
        <v>97</v>
      </c>
      <c r="P18" s="59">
        <f>AVERAGE(E18:O18)</f>
        <v>83.454545454545453</v>
      </c>
    </row>
    <row r="19" spans="1:16" s="5" customFormat="1" ht="13.5" customHeight="1" x14ac:dyDescent="0.3">
      <c r="A19" s="14"/>
      <c r="B19" s="16"/>
      <c r="C19" s="2"/>
      <c r="D19" s="22"/>
      <c r="E19" s="30" t="str">
        <f t="shared" ref="E19:O19" si="7">IF(E18&gt;=90,"A",IF(E18&gt;=80,"B",IF(E18&gt;=70,"C",IF(E18&gt;=60,"D","F"))))</f>
        <v>D</v>
      </c>
      <c r="F19" s="30" t="str">
        <f t="shared" si="7"/>
        <v>B</v>
      </c>
      <c r="G19" s="30" t="str">
        <f t="shared" si="7"/>
        <v>D</v>
      </c>
      <c r="H19" s="30" t="str">
        <f t="shared" si="7"/>
        <v>C</v>
      </c>
      <c r="I19" s="30" t="str">
        <f t="shared" si="7"/>
        <v>D</v>
      </c>
      <c r="J19" s="30" t="str">
        <f t="shared" si="7"/>
        <v>A</v>
      </c>
      <c r="K19" s="30" t="str">
        <f t="shared" si="7"/>
        <v>A</v>
      </c>
      <c r="L19" s="30" t="str">
        <f t="shared" si="7"/>
        <v>A</v>
      </c>
      <c r="M19" s="30" t="str">
        <f t="shared" si="7"/>
        <v>A</v>
      </c>
      <c r="N19" s="30" t="str">
        <f t="shared" si="7"/>
        <v>A</v>
      </c>
      <c r="O19" s="30" t="str">
        <f t="shared" si="7"/>
        <v>A</v>
      </c>
      <c r="P19" s="59"/>
    </row>
    <row r="20" spans="1:16" s="5" customFormat="1" ht="13.5" customHeight="1" x14ac:dyDescent="0.3">
      <c r="A20" s="14">
        <v>9</v>
      </c>
      <c r="B20" s="16" t="s">
        <v>208</v>
      </c>
      <c r="C20" s="2" t="s">
        <v>599</v>
      </c>
      <c r="D20" s="22" t="s">
        <v>375</v>
      </c>
      <c r="E20" s="18">
        <v>88</v>
      </c>
      <c r="F20" s="18">
        <v>81</v>
      </c>
      <c r="G20" s="18">
        <v>79</v>
      </c>
      <c r="H20" s="18">
        <v>88</v>
      </c>
      <c r="I20" s="18">
        <v>71</v>
      </c>
      <c r="J20" s="18">
        <v>82</v>
      </c>
      <c r="K20" s="18">
        <v>97</v>
      </c>
      <c r="L20" s="18">
        <v>98</v>
      </c>
      <c r="M20" s="18">
        <v>97</v>
      </c>
      <c r="N20" s="18">
        <v>100</v>
      </c>
      <c r="O20" s="18">
        <v>100</v>
      </c>
      <c r="P20" s="59">
        <f>AVERAGE(E20:O20)</f>
        <v>89.181818181818187</v>
      </c>
    </row>
    <row r="21" spans="1:16" s="5" customFormat="1" ht="13.5" customHeight="1" x14ac:dyDescent="0.3">
      <c r="A21" s="14"/>
      <c r="B21" s="16"/>
      <c r="C21" s="2"/>
      <c r="D21" s="22"/>
      <c r="E21" s="30" t="str">
        <f t="shared" ref="E21:O21" si="8">IF(E20&gt;=90,"A",IF(E20&gt;=80,"B",IF(E20&gt;=70,"C",IF(E20&gt;=60,"D","F"))))</f>
        <v>B</v>
      </c>
      <c r="F21" s="30" t="str">
        <f t="shared" si="8"/>
        <v>B</v>
      </c>
      <c r="G21" s="30" t="str">
        <f t="shared" si="8"/>
        <v>C</v>
      </c>
      <c r="H21" s="30" t="str">
        <f t="shared" si="8"/>
        <v>B</v>
      </c>
      <c r="I21" s="30" t="str">
        <f t="shared" si="8"/>
        <v>C</v>
      </c>
      <c r="J21" s="30" t="str">
        <f t="shared" si="8"/>
        <v>B</v>
      </c>
      <c r="K21" s="30" t="str">
        <f t="shared" si="8"/>
        <v>A</v>
      </c>
      <c r="L21" s="30" t="str">
        <f t="shared" si="8"/>
        <v>A</v>
      </c>
      <c r="M21" s="30" t="str">
        <f t="shared" si="8"/>
        <v>A</v>
      </c>
      <c r="N21" s="30" t="str">
        <f t="shared" si="8"/>
        <v>A</v>
      </c>
      <c r="O21" s="30" t="str">
        <f t="shared" si="8"/>
        <v>A</v>
      </c>
      <c r="P21" s="59"/>
    </row>
    <row r="22" spans="1:16" s="5" customFormat="1" ht="13.5" customHeight="1" x14ac:dyDescent="0.3">
      <c r="A22" s="14">
        <v>10</v>
      </c>
      <c r="B22" s="16" t="s">
        <v>209</v>
      </c>
      <c r="C22" s="2" t="s">
        <v>600</v>
      </c>
      <c r="D22" s="22" t="s">
        <v>375</v>
      </c>
      <c r="E22" s="15">
        <v>88</v>
      </c>
      <c r="F22" s="15">
        <v>92</v>
      </c>
      <c r="G22" s="18">
        <v>80</v>
      </c>
      <c r="H22" s="18">
        <v>88</v>
      </c>
      <c r="I22" s="18">
        <v>82</v>
      </c>
      <c r="J22" s="18">
        <v>93</v>
      </c>
      <c r="K22" s="18">
        <v>98</v>
      </c>
      <c r="L22" s="18">
        <v>98</v>
      </c>
      <c r="M22" s="18">
        <v>90</v>
      </c>
      <c r="N22" s="18">
        <v>100</v>
      </c>
      <c r="O22" s="18">
        <v>100</v>
      </c>
      <c r="P22" s="59">
        <f>AVERAGE(E22:O22)</f>
        <v>91.727272727272734</v>
      </c>
    </row>
    <row r="23" spans="1:16" s="5" customFormat="1" ht="13.5" customHeight="1" x14ac:dyDescent="0.3">
      <c r="A23" s="14"/>
      <c r="B23" s="16"/>
      <c r="C23" s="2"/>
      <c r="D23" s="22"/>
      <c r="E23" s="30" t="str">
        <f t="shared" ref="E23:O23" si="9">IF(E22&gt;=90,"A",IF(E22&gt;=80,"B",IF(E22&gt;=70,"C",IF(E22&gt;=60,"D","F"))))</f>
        <v>B</v>
      </c>
      <c r="F23" s="30" t="str">
        <f t="shared" si="9"/>
        <v>A</v>
      </c>
      <c r="G23" s="30" t="str">
        <f t="shared" si="9"/>
        <v>B</v>
      </c>
      <c r="H23" s="30" t="str">
        <f t="shared" si="9"/>
        <v>B</v>
      </c>
      <c r="I23" s="30" t="str">
        <f t="shared" si="9"/>
        <v>B</v>
      </c>
      <c r="J23" s="30" t="str">
        <f t="shared" si="9"/>
        <v>A</v>
      </c>
      <c r="K23" s="30" t="str">
        <f t="shared" si="9"/>
        <v>A</v>
      </c>
      <c r="L23" s="30" t="str">
        <f t="shared" si="9"/>
        <v>A</v>
      </c>
      <c r="M23" s="30" t="str">
        <f t="shared" si="9"/>
        <v>A</v>
      </c>
      <c r="N23" s="30" t="str">
        <f t="shared" si="9"/>
        <v>A</v>
      </c>
      <c r="O23" s="30" t="str">
        <f t="shared" si="9"/>
        <v>A</v>
      </c>
      <c r="P23" s="59"/>
    </row>
    <row r="24" spans="1:16" s="5" customFormat="1" ht="13.5" customHeight="1" x14ac:dyDescent="0.3">
      <c r="A24" s="14">
        <v>11</v>
      </c>
      <c r="B24" s="16" t="s">
        <v>17</v>
      </c>
      <c r="C24" s="2" t="s">
        <v>601</v>
      </c>
      <c r="D24" s="22" t="s">
        <v>376</v>
      </c>
      <c r="E24" s="18">
        <v>75</v>
      </c>
      <c r="F24" s="18">
        <v>86</v>
      </c>
      <c r="G24" s="30">
        <v>72</v>
      </c>
      <c r="H24" s="30">
        <v>83</v>
      </c>
      <c r="I24" s="30">
        <v>73</v>
      </c>
      <c r="J24" s="30">
        <v>81</v>
      </c>
      <c r="K24" s="30">
        <v>100</v>
      </c>
      <c r="L24" s="30">
        <v>99</v>
      </c>
      <c r="M24" s="30">
        <v>91</v>
      </c>
      <c r="N24" s="30">
        <v>98</v>
      </c>
      <c r="O24" s="18">
        <v>98</v>
      </c>
      <c r="P24" s="59">
        <f>AVERAGE(E24:O24)</f>
        <v>86.909090909090907</v>
      </c>
    </row>
    <row r="25" spans="1:16" s="5" customFormat="1" ht="13.5" customHeight="1" x14ac:dyDescent="0.3">
      <c r="A25" s="14"/>
      <c r="B25" s="16"/>
      <c r="C25" s="2"/>
      <c r="D25" s="22"/>
      <c r="E25" s="30" t="str">
        <f t="shared" ref="E25:O25" si="10">IF(E24&gt;=90,"A",IF(E24&gt;=80,"B",IF(E24&gt;=70,"C",IF(E24&gt;=60,"D","F"))))</f>
        <v>C</v>
      </c>
      <c r="F25" s="30" t="str">
        <f t="shared" si="10"/>
        <v>B</v>
      </c>
      <c r="G25" s="30" t="str">
        <f t="shared" si="10"/>
        <v>C</v>
      </c>
      <c r="H25" s="30" t="str">
        <f t="shared" si="10"/>
        <v>B</v>
      </c>
      <c r="I25" s="30" t="str">
        <f t="shared" si="10"/>
        <v>C</v>
      </c>
      <c r="J25" s="30" t="str">
        <f t="shared" si="10"/>
        <v>B</v>
      </c>
      <c r="K25" s="30" t="str">
        <f t="shared" si="10"/>
        <v>A</v>
      </c>
      <c r="L25" s="30" t="str">
        <f t="shared" si="10"/>
        <v>A</v>
      </c>
      <c r="M25" s="30" t="str">
        <f t="shared" si="10"/>
        <v>A</v>
      </c>
      <c r="N25" s="30" t="str">
        <f t="shared" si="10"/>
        <v>A</v>
      </c>
      <c r="O25" s="30" t="str">
        <f t="shared" si="10"/>
        <v>A</v>
      </c>
      <c r="P25" s="59"/>
    </row>
    <row r="26" spans="1:16" s="5" customFormat="1" ht="13.5" customHeight="1" x14ac:dyDescent="0.3">
      <c r="A26" s="14">
        <v>12</v>
      </c>
      <c r="B26" s="16" t="s">
        <v>210</v>
      </c>
      <c r="C26" s="2" t="s">
        <v>602</v>
      </c>
      <c r="D26" s="22" t="s">
        <v>376</v>
      </c>
      <c r="E26" s="30">
        <v>96</v>
      </c>
      <c r="F26" s="30">
        <v>98</v>
      </c>
      <c r="G26" s="30">
        <v>98</v>
      </c>
      <c r="H26" s="30">
        <v>96</v>
      </c>
      <c r="I26" s="30">
        <v>93</v>
      </c>
      <c r="J26" s="30">
        <v>100</v>
      </c>
      <c r="K26" s="30">
        <v>100</v>
      </c>
      <c r="L26" s="30">
        <v>100</v>
      </c>
      <c r="M26" s="30">
        <v>97</v>
      </c>
      <c r="N26" s="30">
        <v>100</v>
      </c>
      <c r="O26" s="18">
        <v>100</v>
      </c>
      <c r="P26" s="59">
        <f>AVERAGE(E26:O26)</f>
        <v>98</v>
      </c>
    </row>
    <row r="27" spans="1:16" s="5" customFormat="1" ht="13.5" customHeight="1" x14ac:dyDescent="0.3">
      <c r="A27" s="14"/>
      <c r="B27" s="16"/>
      <c r="C27" s="2"/>
      <c r="D27" s="22"/>
      <c r="E27" s="30" t="str">
        <f t="shared" ref="E27:O27" si="11">IF(E26&gt;=90,"A",IF(E26&gt;=80,"B",IF(E26&gt;=70,"C",IF(E26&gt;=60,"D","F"))))</f>
        <v>A</v>
      </c>
      <c r="F27" s="30" t="str">
        <f t="shared" si="11"/>
        <v>A</v>
      </c>
      <c r="G27" s="30" t="str">
        <f t="shared" si="11"/>
        <v>A</v>
      </c>
      <c r="H27" s="30" t="str">
        <f t="shared" si="11"/>
        <v>A</v>
      </c>
      <c r="I27" s="30" t="str">
        <f t="shared" si="11"/>
        <v>A</v>
      </c>
      <c r="J27" s="30" t="str">
        <f t="shared" si="11"/>
        <v>A</v>
      </c>
      <c r="K27" s="30" t="str">
        <f t="shared" si="11"/>
        <v>A</v>
      </c>
      <c r="L27" s="30" t="str">
        <f t="shared" si="11"/>
        <v>A</v>
      </c>
      <c r="M27" s="30" t="str">
        <f t="shared" si="11"/>
        <v>A</v>
      </c>
      <c r="N27" s="30" t="str">
        <f t="shared" si="11"/>
        <v>A</v>
      </c>
      <c r="O27" s="30" t="str">
        <f t="shared" si="11"/>
        <v>A</v>
      </c>
      <c r="P27" s="59"/>
    </row>
    <row r="28" spans="1:16" s="5" customFormat="1" ht="13.5" customHeight="1" x14ac:dyDescent="0.3">
      <c r="A28" s="14">
        <v>13</v>
      </c>
      <c r="B28" s="11" t="s">
        <v>211</v>
      </c>
      <c r="C28" s="2" t="s">
        <v>603</v>
      </c>
      <c r="D28" s="10" t="s">
        <v>376</v>
      </c>
      <c r="E28" s="18">
        <v>92</v>
      </c>
      <c r="F28" s="30">
        <v>94</v>
      </c>
      <c r="G28" s="18">
        <v>84</v>
      </c>
      <c r="H28" s="18">
        <v>91</v>
      </c>
      <c r="I28" s="18">
        <v>85</v>
      </c>
      <c r="J28" s="18">
        <v>94</v>
      </c>
      <c r="K28" s="15">
        <v>97</v>
      </c>
      <c r="L28" s="15">
        <v>98</v>
      </c>
      <c r="M28" s="15">
        <v>100</v>
      </c>
      <c r="N28" s="15">
        <v>100</v>
      </c>
      <c r="O28" s="18">
        <v>100</v>
      </c>
      <c r="P28" s="59">
        <f>AVERAGE(E28:O28)</f>
        <v>94.090909090909093</v>
      </c>
    </row>
    <row r="29" spans="1:16" s="5" customFormat="1" ht="13.5" customHeight="1" x14ac:dyDescent="0.3">
      <c r="A29" s="14"/>
      <c r="B29" s="16"/>
      <c r="C29" s="2"/>
      <c r="D29" s="22"/>
      <c r="E29" s="30" t="str">
        <f t="shared" ref="E29:O29" si="12">IF(E28&gt;=90,"A",IF(E28&gt;=80,"B",IF(E28&gt;=70,"C",IF(E28&gt;=60,"D","F"))))</f>
        <v>A</v>
      </c>
      <c r="F29" s="30" t="str">
        <f t="shared" si="12"/>
        <v>A</v>
      </c>
      <c r="G29" s="30" t="str">
        <f t="shared" si="12"/>
        <v>B</v>
      </c>
      <c r="H29" s="30" t="str">
        <f t="shared" si="12"/>
        <v>A</v>
      </c>
      <c r="I29" s="30" t="str">
        <f t="shared" si="12"/>
        <v>B</v>
      </c>
      <c r="J29" s="30" t="str">
        <f t="shared" si="12"/>
        <v>A</v>
      </c>
      <c r="K29" s="30" t="str">
        <f t="shared" si="12"/>
        <v>A</v>
      </c>
      <c r="L29" s="30" t="str">
        <f t="shared" si="12"/>
        <v>A</v>
      </c>
      <c r="M29" s="30" t="str">
        <f t="shared" si="12"/>
        <v>A</v>
      </c>
      <c r="N29" s="30" t="str">
        <f t="shared" si="12"/>
        <v>A</v>
      </c>
      <c r="O29" s="30" t="str">
        <f t="shared" si="12"/>
        <v>A</v>
      </c>
      <c r="P29" s="59"/>
    </row>
    <row r="30" spans="1:16" s="5" customFormat="1" ht="13.5" customHeight="1" x14ac:dyDescent="0.3">
      <c r="A30" s="14">
        <v>14</v>
      </c>
      <c r="B30" s="16" t="s">
        <v>212</v>
      </c>
      <c r="C30" s="2" t="s">
        <v>604</v>
      </c>
      <c r="D30" s="22" t="s">
        <v>375</v>
      </c>
      <c r="E30" s="18">
        <v>80</v>
      </c>
      <c r="F30" s="18">
        <v>85</v>
      </c>
      <c r="G30" s="18">
        <v>76</v>
      </c>
      <c r="H30" s="18">
        <v>80</v>
      </c>
      <c r="I30" s="18">
        <v>76</v>
      </c>
      <c r="J30" s="18">
        <v>80</v>
      </c>
      <c r="K30" s="18">
        <v>100</v>
      </c>
      <c r="L30" s="18">
        <v>100</v>
      </c>
      <c r="M30" s="18">
        <v>93</v>
      </c>
      <c r="N30" s="18">
        <v>98</v>
      </c>
      <c r="O30" s="18">
        <v>100</v>
      </c>
      <c r="P30" s="59">
        <f>AVERAGE(E30:O30)</f>
        <v>88</v>
      </c>
    </row>
    <row r="31" spans="1:16" s="5" customFormat="1" ht="13.5" customHeight="1" x14ac:dyDescent="0.3">
      <c r="A31" s="14"/>
      <c r="B31" s="16"/>
      <c r="C31" s="2"/>
      <c r="D31" s="22"/>
      <c r="E31" s="30" t="str">
        <f t="shared" ref="E31:O31" si="13">IF(E30&gt;=90,"A",IF(E30&gt;=80,"B",IF(E30&gt;=70,"C",IF(E30&gt;=60,"D","F"))))</f>
        <v>B</v>
      </c>
      <c r="F31" s="30" t="str">
        <f t="shared" si="13"/>
        <v>B</v>
      </c>
      <c r="G31" s="30" t="str">
        <f t="shared" si="13"/>
        <v>C</v>
      </c>
      <c r="H31" s="30" t="str">
        <f t="shared" si="13"/>
        <v>B</v>
      </c>
      <c r="I31" s="30" t="str">
        <f t="shared" si="13"/>
        <v>C</v>
      </c>
      <c r="J31" s="30" t="str">
        <f t="shared" si="13"/>
        <v>B</v>
      </c>
      <c r="K31" s="30" t="str">
        <f t="shared" si="13"/>
        <v>A</v>
      </c>
      <c r="L31" s="30" t="str">
        <f t="shared" si="13"/>
        <v>A</v>
      </c>
      <c r="M31" s="30" t="str">
        <f t="shared" si="13"/>
        <v>A</v>
      </c>
      <c r="N31" s="30" t="str">
        <f t="shared" si="13"/>
        <v>A</v>
      </c>
      <c r="O31" s="30" t="str">
        <f t="shared" si="13"/>
        <v>A</v>
      </c>
      <c r="P31" s="59"/>
    </row>
    <row r="32" spans="1:16" s="5" customFormat="1" ht="13.5" customHeight="1" x14ac:dyDescent="0.3">
      <c r="A32" s="14">
        <v>15</v>
      </c>
      <c r="B32" s="15" t="s">
        <v>355</v>
      </c>
      <c r="C32" s="83"/>
      <c r="D32" s="22" t="s">
        <v>375</v>
      </c>
      <c r="E32" s="18">
        <v>94</v>
      </c>
      <c r="F32" s="60">
        <v>0</v>
      </c>
      <c r="G32" s="18">
        <v>92</v>
      </c>
      <c r="H32" s="18">
        <v>93</v>
      </c>
      <c r="I32" s="18">
        <v>91</v>
      </c>
      <c r="J32" s="18">
        <v>98</v>
      </c>
      <c r="K32" s="18">
        <v>100</v>
      </c>
      <c r="L32" s="18">
        <v>97</v>
      </c>
      <c r="M32" s="18">
        <v>95</v>
      </c>
      <c r="N32" s="18">
        <v>100</v>
      </c>
      <c r="O32" s="18">
        <v>100</v>
      </c>
      <c r="P32" s="59">
        <f>AVERAGE(E32,G32:O32)</f>
        <v>96</v>
      </c>
    </row>
    <row r="33" spans="1:16" s="5" customFormat="1" ht="13.5" customHeight="1" x14ac:dyDescent="0.3">
      <c r="A33" s="14"/>
      <c r="B33" s="15"/>
      <c r="C33" s="2"/>
      <c r="D33" s="22"/>
      <c r="E33" s="30" t="str">
        <f>IF(E32&gt;=90,"A",IF(E32&gt;=80,"B",IF(E32&gt;=70,"C",IF(E32&gt;=60,"D","F"))))</f>
        <v>A</v>
      </c>
      <c r="F33" s="61"/>
      <c r="G33" s="30" t="str">
        <f t="shared" ref="G33:O33" si="14">IF(G32&gt;=90,"A",IF(G32&gt;=80,"B",IF(G32&gt;=70,"C",IF(G32&gt;=60,"D","F"))))</f>
        <v>A</v>
      </c>
      <c r="H33" s="30" t="str">
        <f t="shared" si="14"/>
        <v>A</v>
      </c>
      <c r="I33" s="30" t="str">
        <f t="shared" si="14"/>
        <v>A</v>
      </c>
      <c r="J33" s="30" t="str">
        <f t="shared" si="14"/>
        <v>A</v>
      </c>
      <c r="K33" s="30" t="str">
        <f t="shared" si="14"/>
        <v>A</v>
      </c>
      <c r="L33" s="30" t="str">
        <f t="shared" si="14"/>
        <v>A</v>
      </c>
      <c r="M33" s="30" t="str">
        <f t="shared" si="14"/>
        <v>A</v>
      </c>
      <c r="N33" s="30" t="str">
        <f t="shared" si="14"/>
        <v>A</v>
      </c>
      <c r="O33" s="30" t="str">
        <f t="shared" si="14"/>
        <v>A</v>
      </c>
      <c r="P33" s="59"/>
    </row>
    <row r="34" spans="1:16" s="5" customFormat="1" ht="13.5" customHeight="1" x14ac:dyDescent="0.3">
      <c r="A34" s="14">
        <v>16</v>
      </c>
      <c r="B34" s="39" t="s">
        <v>213</v>
      </c>
      <c r="C34" s="2" t="s">
        <v>605</v>
      </c>
      <c r="D34" s="22" t="s">
        <v>375</v>
      </c>
      <c r="E34" s="30">
        <v>87</v>
      </c>
      <c r="F34" s="30">
        <v>84</v>
      </c>
      <c r="G34" s="30">
        <v>83</v>
      </c>
      <c r="H34" s="30">
        <v>91</v>
      </c>
      <c r="I34" s="30">
        <v>83</v>
      </c>
      <c r="J34" s="30">
        <v>86</v>
      </c>
      <c r="K34" s="30">
        <v>100</v>
      </c>
      <c r="L34" s="30">
        <v>99</v>
      </c>
      <c r="M34" s="30">
        <v>96</v>
      </c>
      <c r="N34" s="30">
        <v>97</v>
      </c>
      <c r="O34" s="18">
        <v>100</v>
      </c>
      <c r="P34" s="59">
        <f>AVERAGE(E34:O34)</f>
        <v>91.454545454545453</v>
      </c>
    </row>
    <row r="35" spans="1:16" s="5" customFormat="1" ht="13.5" customHeight="1" x14ac:dyDescent="0.3">
      <c r="A35" s="14"/>
      <c r="B35" s="39"/>
      <c r="C35" s="2"/>
      <c r="D35" s="22"/>
      <c r="E35" s="30" t="str">
        <f t="shared" ref="E35:O35" si="15">IF(E34&gt;=90,"A",IF(E34&gt;=80,"B",IF(E34&gt;=70,"C",IF(E34&gt;=60,"D","F"))))</f>
        <v>B</v>
      </c>
      <c r="F35" s="30" t="str">
        <f t="shared" si="15"/>
        <v>B</v>
      </c>
      <c r="G35" s="30" t="str">
        <f t="shared" si="15"/>
        <v>B</v>
      </c>
      <c r="H35" s="30" t="str">
        <f t="shared" si="15"/>
        <v>A</v>
      </c>
      <c r="I35" s="30" t="str">
        <f t="shared" si="15"/>
        <v>B</v>
      </c>
      <c r="J35" s="30" t="str">
        <f t="shared" si="15"/>
        <v>B</v>
      </c>
      <c r="K35" s="30" t="str">
        <f t="shared" si="15"/>
        <v>A</v>
      </c>
      <c r="L35" s="30" t="str">
        <f t="shared" si="15"/>
        <v>A</v>
      </c>
      <c r="M35" s="30" t="str">
        <f t="shared" si="15"/>
        <v>A</v>
      </c>
      <c r="N35" s="30" t="str">
        <f t="shared" si="15"/>
        <v>A</v>
      </c>
      <c r="O35" s="30" t="str">
        <f t="shared" si="15"/>
        <v>A</v>
      </c>
      <c r="P35" s="59"/>
    </row>
    <row r="36" spans="1:16" s="5" customFormat="1" ht="13.5" customHeight="1" x14ac:dyDescent="0.3">
      <c r="A36" s="14">
        <v>17</v>
      </c>
      <c r="B36" s="16" t="s">
        <v>19</v>
      </c>
      <c r="C36" s="2" t="s">
        <v>606</v>
      </c>
      <c r="D36" s="22" t="s">
        <v>375</v>
      </c>
      <c r="E36" s="30">
        <v>82</v>
      </c>
      <c r="F36" s="30">
        <v>83</v>
      </c>
      <c r="G36" s="30">
        <v>85</v>
      </c>
      <c r="H36" s="30">
        <v>83</v>
      </c>
      <c r="I36" s="30">
        <v>86</v>
      </c>
      <c r="J36" s="30">
        <v>96</v>
      </c>
      <c r="K36" s="30">
        <v>100</v>
      </c>
      <c r="L36" s="30">
        <v>99</v>
      </c>
      <c r="M36" s="30">
        <v>95</v>
      </c>
      <c r="N36" s="30">
        <v>100</v>
      </c>
      <c r="O36" s="18">
        <v>100</v>
      </c>
      <c r="P36" s="59">
        <f>AVERAGE(E36:O36)</f>
        <v>91.727272727272734</v>
      </c>
    </row>
    <row r="37" spans="1:16" s="5" customFormat="1" ht="13.5" customHeight="1" x14ac:dyDescent="0.3">
      <c r="A37" s="14"/>
      <c r="B37" s="16"/>
      <c r="C37" s="2"/>
      <c r="D37" s="22"/>
      <c r="E37" s="30" t="str">
        <f t="shared" ref="E37:O37" si="16">IF(E36&gt;=90,"A",IF(E36&gt;=80,"B",IF(E36&gt;=70,"C",IF(E36&gt;=60,"D","F"))))</f>
        <v>B</v>
      </c>
      <c r="F37" s="30" t="str">
        <f t="shared" si="16"/>
        <v>B</v>
      </c>
      <c r="G37" s="30" t="str">
        <f t="shared" si="16"/>
        <v>B</v>
      </c>
      <c r="H37" s="30" t="str">
        <f t="shared" si="16"/>
        <v>B</v>
      </c>
      <c r="I37" s="30" t="str">
        <f t="shared" si="16"/>
        <v>B</v>
      </c>
      <c r="J37" s="30" t="str">
        <f t="shared" si="16"/>
        <v>A</v>
      </c>
      <c r="K37" s="30" t="str">
        <f t="shared" si="16"/>
        <v>A</v>
      </c>
      <c r="L37" s="30" t="str">
        <f t="shared" si="16"/>
        <v>A</v>
      </c>
      <c r="M37" s="30" t="str">
        <f t="shared" si="16"/>
        <v>A</v>
      </c>
      <c r="N37" s="30" t="str">
        <f t="shared" si="16"/>
        <v>A</v>
      </c>
      <c r="O37" s="30" t="str">
        <f t="shared" si="16"/>
        <v>A</v>
      </c>
      <c r="P37" s="59"/>
    </row>
    <row r="38" spans="1:16" s="5" customFormat="1" ht="13.5" customHeight="1" x14ac:dyDescent="0.3">
      <c r="A38" s="14">
        <v>18</v>
      </c>
      <c r="B38" s="16" t="s">
        <v>214</v>
      </c>
      <c r="C38" s="2" t="s">
        <v>607</v>
      </c>
      <c r="D38" s="22" t="s">
        <v>375</v>
      </c>
      <c r="E38" s="18">
        <v>93</v>
      </c>
      <c r="F38" s="18">
        <v>95</v>
      </c>
      <c r="G38" s="18">
        <v>90</v>
      </c>
      <c r="H38" s="18">
        <v>98</v>
      </c>
      <c r="I38" s="18">
        <v>90</v>
      </c>
      <c r="J38" s="18">
        <v>92</v>
      </c>
      <c r="K38" s="18">
        <v>100</v>
      </c>
      <c r="L38" s="18">
        <v>100</v>
      </c>
      <c r="M38" s="18">
        <v>93</v>
      </c>
      <c r="N38" s="18">
        <v>100</v>
      </c>
      <c r="O38" s="18">
        <v>100</v>
      </c>
      <c r="P38" s="59">
        <f>AVERAGE(E38:O38)</f>
        <v>95.545454545454547</v>
      </c>
    </row>
    <row r="39" spans="1:16" s="5" customFormat="1" ht="13.5" customHeight="1" x14ac:dyDescent="0.3">
      <c r="A39" s="14"/>
      <c r="B39" s="16"/>
      <c r="C39" s="2"/>
      <c r="D39" s="22"/>
      <c r="E39" s="30" t="str">
        <f t="shared" ref="E39:O39" si="17">IF(E38&gt;=90,"A",IF(E38&gt;=80,"B",IF(E38&gt;=70,"C",IF(E38&gt;=60,"D","F"))))</f>
        <v>A</v>
      </c>
      <c r="F39" s="30" t="str">
        <f t="shared" si="17"/>
        <v>A</v>
      </c>
      <c r="G39" s="30" t="str">
        <f t="shared" si="17"/>
        <v>A</v>
      </c>
      <c r="H39" s="30" t="str">
        <f t="shared" si="17"/>
        <v>A</v>
      </c>
      <c r="I39" s="30" t="str">
        <f t="shared" si="17"/>
        <v>A</v>
      </c>
      <c r="J39" s="30" t="str">
        <f t="shared" si="17"/>
        <v>A</v>
      </c>
      <c r="K39" s="30" t="str">
        <f t="shared" si="17"/>
        <v>A</v>
      </c>
      <c r="L39" s="30" t="str">
        <f t="shared" si="17"/>
        <v>A</v>
      </c>
      <c r="M39" s="30" t="str">
        <f t="shared" si="17"/>
        <v>A</v>
      </c>
      <c r="N39" s="30" t="str">
        <f t="shared" si="17"/>
        <v>A</v>
      </c>
      <c r="O39" s="30" t="str">
        <f t="shared" si="17"/>
        <v>A</v>
      </c>
      <c r="P39" s="59"/>
    </row>
    <row r="40" spans="1:16" s="5" customFormat="1" ht="13.5" customHeight="1" x14ac:dyDescent="0.3">
      <c r="A40" s="14">
        <v>19</v>
      </c>
      <c r="B40" s="16" t="s">
        <v>215</v>
      </c>
      <c r="C40" s="2" t="s">
        <v>608</v>
      </c>
      <c r="D40" s="22" t="s">
        <v>376</v>
      </c>
      <c r="E40" s="18">
        <v>65</v>
      </c>
      <c r="F40" s="18">
        <v>72</v>
      </c>
      <c r="G40" s="18">
        <v>57</v>
      </c>
      <c r="H40" s="18">
        <v>60</v>
      </c>
      <c r="I40" s="18">
        <v>62</v>
      </c>
      <c r="J40" s="18">
        <v>81</v>
      </c>
      <c r="K40" s="18">
        <v>99</v>
      </c>
      <c r="L40" s="18">
        <v>98</v>
      </c>
      <c r="M40" s="18">
        <v>97</v>
      </c>
      <c r="N40" s="18">
        <v>100</v>
      </c>
      <c r="O40" s="18">
        <v>100</v>
      </c>
      <c r="P40" s="59">
        <f>AVERAGE(E40:O40)</f>
        <v>81</v>
      </c>
    </row>
    <row r="41" spans="1:16" s="5" customFormat="1" ht="13.5" customHeight="1" x14ac:dyDescent="0.3">
      <c r="A41" s="14"/>
      <c r="B41" s="16"/>
      <c r="C41" s="2"/>
      <c r="D41" s="22"/>
      <c r="E41" s="30" t="str">
        <f t="shared" ref="E41:O41" si="18">IF(E40&gt;=90,"A",IF(E40&gt;=80,"B",IF(E40&gt;=70,"C",IF(E40&gt;=60,"D","F"))))</f>
        <v>D</v>
      </c>
      <c r="F41" s="30" t="str">
        <f t="shared" si="18"/>
        <v>C</v>
      </c>
      <c r="G41" s="30" t="str">
        <f t="shared" si="18"/>
        <v>F</v>
      </c>
      <c r="H41" s="30" t="str">
        <f t="shared" si="18"/>
        <v>D</v>
      </c>
      <c r="I41" s="30" t="str">
        <f t="shared" si="18"/>
        <v>D</v>
      </c>
      <c r="J41" s="30" t="str">
        <f t="shared" si="18"/>
        <v>B</v>
      </c>
      <c r="K41" s="30" t="str">
        <f t="shared" si="18"/>
        <v>A</v>
      </c>
      <c r="L41" s="30" t="str">
        <f t="shared" si="18"/>
        <v>A</v>
      </c>
      <c r="M41" s="30" t="str">
        <f t="shared" si="18"/>
        <v>A</v>
      </c>
      <c r="N41" s="30" t="str">
        <f t="shared" si="18"/>
        <v>A</v>
      </c>
      <c r="O41" s="30" t="str">
        <f t="shared" si="18"/>
        <v>A</v>
      </c>
      <c r="P41" s="59"/>
    </row>
    <row r="42" spans="1:16" s="5" customFormat="1" ht="13.5" customHeight="1" x14ac:dyDescent="0.3">
      <c r="A42" s="14">
        <v>20</v>
      </c>
      <c r="B42" s="16" t="s">
        <v>216</v>
      </c>
      <c r="C42" s="2" t="s">
        <v>609</v>
      </c>
      <c r="D42" s="22" t="s">
        <v>375</v>
      </c>
      <c r="E42" s="18">
        <v>96</v>
      </c>
      <c r="F42" s="18">
        <v>90</v>
      </c>
      <c r="G42" s="18">
        <v>94</v>
      </c>
      <c r="H42" s="18">
        <v>98</v>
      </c>
      <c r="I42" s="18">
        <v>95</v>
      </c>
      <c r="J42" s="18">
        <v>96</v>
      </c>
      <c r="K42" s="18">
        <v>99</v>
      </c>
      <c r="L42" s="18">
        <v>100</v>
      </c>
      <c r="M42" s="18">
        <v>100</v>
      </c>
      <c r="N42" s="18">
        <v>98</v>
      </c>
      <c r="O42" s="18">
        <v>100</v>
      </c>
      <c r="P42" s="59">
        <f>AVERAGE(E42:O42)</f>
        <v>96.909090909090907</v>
      </c>
    </row>
    <row r="43" spans="1:16" s="5" customFormat="1" ht="13.5" customHeight="1" x14ac:dyDescent="0.3">
      <c r="A43" s="14"/>
      <c r="B43" s="16"/>
      <c r="C43" s="2"/>
      <c r="D43" s="22"/>
      <c r="E43" s="30" t="str">
        <f t="shared" ref="E43:O43" si="19">IF(E42&gt;=90,"A",IF(E42&gt;=80,"B",IF(E42&gt;=70,"C",IF(E42&gt;=60,"D","F"))))</f>
        <v>A</v>
      </c>
      <c r="F43" s="30" t="str">
        <f t="shared" si="19"/>
        <v>A</v>
      </c>
      <c r="G43" s="30" t="str">
        <f t="shared" si="19"/>
        <v>A</v>
      </c>
      <c r="H43" s="30" t="str">
        <f t="shared" si="19"/>
        <v>A</v>
      </c>
      <c r="I43" s="30" t="str">
        <f t="shared" si="19"/>
        <v>A</v>
      </c>
      <c r="J43" s="30" t="str">
        <f t="shared" si="19"/>
        <v>A</v>
      </c>
      <c r="K43" s="30" t="str">
        <f t="shared" si="19"/>
        <v>A</v>
      </c>
      <c r="L43" s="30" t="str">
        <f t="shared" si="19"/>
        <v>A</v>
      </c>
      <c r="M43" s="30" t="str">
        <f t="shared" si="19"/>
        <v>A</v>
      </c>
      <c r="N43" s="30" t="str">
        <f t="shared" si="19"/>
        <v>A</v>
      </c>
      <c r="O43" s="30" t="str">
        <f t="shared" si="19"/>
        <v>A</v>
      </c>
      <c r="P43" s="59"/>
    </row>
    <row r="44" spans="1:16" s="5" customFormat="1" ht="13.5" customHeight="1" x14ac:dyDescent="0.3">
      <c r="A44" s="14">
        <v>21</v>
      </c>
      <c r="B44" s="16" t="s">
        <v>23</v>
      </c>
      <c r="C44" s="2" t="s">
        <v>610</v>
      </c>
      <c r="D44" s="22" t="s">
        <v>375</v>
      </c>
      <c r="E44" s="18">
        <v>68</v>
      </c>
      <c r="F44" s="18">
        <v>78</v>
      </c>
      <c r="G44" s="18">
        <v>78</v>
      </c>
      <c r="H44" s="18">
        <v>74</v>
      </c>
      <c r="I44" s="18">
        <v>65</v>
      </c>
      <c r="J44" s="18">
        <v>75</v>
      </c>
      <c r="K44" s="18">
        <v>99</v>
      </c>
      <c r="L44" s="18">
        <v>98</v>
      </c>
      <c r="M44" s="18">
        <v>96</v>
      </c>
      <c r="N44" s="18">
        <v>100</v>
      </c>
      <c r="O44" s="18">
        <v>100</v>
      </c>
      <c r="P44" s="59">
        <f>AVERAGE(E44:O44)</f>
        <v>84.63636363636364</v>
      </c>
    </row>
    <row r="45" spans="1:16" s="5" customFormat="1" ht="13.5" customHeight="1" x14ac:dyDescent="0.3">
      <c r="A45" s="14"/>
      <c r="B45" s="16"/>
      <c r="C45" s="2"/>
      <c r="D45" s="22"/>
      <c r="E45" s="30" t="str">
        <f t="shared" ref="E45:O45" si="20">IF(E44&gt;=90,"A",IF(E44&gt;=80,"B",IF(E44&gt;=70,"C",IF(E44&gt;=60,"D","F"))))</f>
        <v>D</v>
      </c>
      <c r="F45" s="30" t="str">
        <f t="shared" si="20"/>
        <v>C</v>
      </c>
      <c r="G45" s="30" t="str">
        <f t="shared" si="20"/>
        <v>C</v>
      </c>
      <c r="H45" s="30" t="str">
        <f t="shared" si="20"/>
        <v>C</v>
      </c>
      <c r="I45" s="30" t="str">
        <f t="shared" si="20"/>
        <v>D</v>
      </c>
      <c r="J45" s="30" t="str">
        <f t="shared" si="20"/>
        <v>C</v>
      </c>
      <c r="K45" s="30" t="str">
        <f t="shared" si="20"/>
        <v>A</v>
      </c>
      <c r="L45" s="30" t="str">
        <f t="shared" si="20"/>
        <v>A</v>
      </c>
      <c r="M45" s="30" t="str">
        <f t="shared" si="20"/>
        <v>A</v>
      </c>
      <c r="N45" s="30" t="str">
        <f t="shared" si="20"/>
        <v>A</v>
      </c>
      <c r="O45" s="30" t="str">
        <f t="shared" si="20"/>
        <v>A</v>
      </c>
      <c r="P45" s="59"/>
    </row>
    <row r="46" spans="1:16" s="5" customFormat="1" ht="13.5" customHeight="1" x14ac:dyDescent="0.3">
      <c r="A46" s="14">
        <v>22</v>
      </c>
      <c r="B46" s="16" t="s">
        <v>217</v>
      </c>
      <c r="C46" s="2" t="s">
        <v>611</v>
      </c>
      <c r="D46" s="22" t="s">
        <v>376</v>
      </c>
      <c r="E46" s="30">
        <v>79</v>
      </c>
      <c r="F46" s="30">
        <v>91</v>
      </c>
      <c r="G46" s="30">
        <v>80</v>
      </c>
      <c r="H46" s="30">
        <v>73</v>
      </c>
      <c r="I46" s="30">
        <v>64</v>
      </c>
      <c r="J46" s="30">
        <v>93</v>
      </c>
      <c r="K46" s="30">
        <v>100</v>
      </c>
      <c r="L46" s="30">
        <v>99</v>
      </c>
      <c r="M46" s="30">
        <v>94</v>
      </c>
      <c r="N46" s="30">
        <v>100</v>
      </c>
      <c r="O46" s="18">
        <v>100</v>
      </c>
      <c r="P46" s="59">
        <f>AVERAGE(E46:O46)</f>
        <v>88.454545454545453</v>
      </c>
    </row>
    <row r="47" spans="1:16" s="5" customFormat="1" ht="13.5" customHeight="1" x14ac:dyDescent="0.3">
      <c r="A47" s="14"/>
      <c r="B47" s="16"/>
      <c r="C47" s="2"/>
      <c r="D47" s="22"/>
      <c r="E47" s="30" t="str">
        <f t="shared" ref="E47:O47" si="21">IF(E46&gt;=90,"A",IF(E46&gt;=80,"B",IF(E46&gt;=70,"C",IF(E46&gt;=60,"D","F"))))</f>
        <v>C</v>
      </c>
      <c r="F47" s="30" t="str">
        <f t="shared" si="21"/>
        <v>A</v>
      </c>
      <c r="G47" s="30" t="str">
        <f t="shared" si="21"/>
        <v>B</v>
      </c>
      <c r="H47" s="30" t="str">
        <f t="shared" si="21"/>
        <v>C</v>
      </c>
      <c r="I47" s="30" t="str">
        <f t="shared" si="21"/>
        <v>D</v>
      </c>
      <c r="J47" s="30" t="str">
        <f t="shared" si="21"/>
        <v>A</v>
      </c>
      <c r="K47" s="30" t="str">
        <f t="shared" si="21"/>
        <v>A</v>
      </c>
      <c r="L47" s="30" t="str">
        <f t="shared" si="21"/>
        <v>A</v>
      </c>
      <c r="M47" s="30" t="str">
        <f t="shared" si="21"/>
        <v>A</v>
      </c>
      <c r="N47" s="30" t="str">
        <f t="shared" si="21"/>
        <v>A</v>
      </c>
      <c r="O47" s="30" t="str">
        <f t="shared" si="21"/>
        <v>A</v>
      </c>
      <c r="P47" s="59"/>
    </row>
    <row r="48" spans="1:16" s="5" customFormat="1" ht="13.5" customHeight="1" x14ac:dyDescent="0.3">
      <c r="A48" s="14">
        <v>23</v>
      </c>
      <c r="B48" s="16" t="s">
        <v>218</v>
      </c>
      <c r="C48" s="2" t="s">
        <v>612</v>
      </c>
      <c r="D48" s="22" t="s">
        <v>375</v>
      </c>
      <c r="E48" s="30">
        <v>84</v>
      </c>
      <c r="F48" s="61" t="s">
        <v>429</v>
      </c>
      <c r="G48" s="30">
        <v>83</v>
      </c>
      <c r="H48" s="30">
        <v>91</v>
      </c>
      <c r="I48" s="30">
        <v>85</v>
      </c>
      <c r="J48" s="30">
        <v>81</v>
      </c>
      <c r="K48" s="30">
        <v>100</v>
      </c>
      <c r="L48" s="30">
        <v>100</v>
      </c>
      <c r="M48" s="30">
        <v>94</v>
      </c>
      <c r="N48" s="30">
        <v>100</v>
      </c>
      <c r="O48" s="18">
        <v>100</v>
      </c>
      <c r="P48" s="59">
        <f>AVERAGE(E48:O48)</f>
        <v>91.8</v>
      </c>
    </row>
    <row r="49" spans="1:16" s="5" customFormat="1" ht="13.5" customHeight="1" x14ac:dyDescent="0.3">
      <c r="A49" s="14"/>
      <c r="B49" s="16"/>
      <c r="C49" s="2"/>
      <c r="D49" s="22"/>
      <c r="E49" s="30" t="str">
        <f>IF(E48&gt;=90,"A",IF(E48&gt;=80,"B",IF(E48&gt;=70,"C",IF(E48&gt;=60,"D","F"))))</f>
        <v>B</v>
      </c>
      <c r="F49" s="61"/>
      <c r="G49" s="30" t="str">
        <f t="shared" ref="G49:O49" si="22">IF(G48&gt;=90,"A",IF(G48&gt;=80,"B",IF(G48&gt;=70,"C",IF(G48&gt;=60,"D","F"))))</f>
        <v>B</v>
      </c>
      <c r="H49" s="30" t="str">
        <f t="shared" si="22"/>
        <v>A</v>
      </c>
      <c r="I49" s="30" t="str">
        <f t="shared" si="22"/>
        <v>B</v>
      </c>
      <c r="J49" s="30" t="str">
        <f t="shared" si="22"/>
        <v>B</v>
      </c>
      <c r="K49" s="30" t="str">
        <f t="shared" si="22"/>
        <v>A</v>
      </c>
      <c r="L49" s="30" t="str">
        <f t="shared" si="22"/>
        <v>A</v>
      </c>
      <c r="M49" s="30" t="str">
        <f t="shared" si="22"/>
        <v>A</v>
      </c>
      <c r="N49" s="30" t="str">
        <f t="shared" si="22"/>
        <v>A</v>
      </c>
      <c r="O49" s="30" t="str">
        <f t="shared" si="22"/>
        <v>A</v>
      </c>
      <c r="P49" s="59"/>
    </row>
    <row r="50" spans="1:16" s="5" customFormat="1" ht="13.5" customHeight="1" x14ac:dyDescent="0.3">
      <c r="A50" s="14">
        <v>24</v>
      </c>
      <c r="B50" s="16" t="s">
        <v>219</v>
      </c>
      <c r="C50" s="2" t="s">
        <v>613</v>
      </c>
      <c r="D50" s="22" t="s">
        <v>375</v>
      </c>
      <c r="E50" s="18">
        <v>90</v>
      </c>
      <c r="F50" s="30">
        <v>90</v>
      </c>
      <c r="G50" s="18">
        <v>84</v>
      </c>
      <c r="H50" s="18">
        <v>94</v>
      </c>
      <c r="I50" s="18">
        <v>84</v>
      </c>
      <c r="J50" s="18">
        <v>91</v>
      </c>
      <c r="K50" s="18">
        <v>100</v>
      </c>
      <c r="L50" s="18">
        <v>97</v>
      </c>
      <c r="M50" s="18">
        <v>94</v>
      </c>
      <c r="N50" s="18">
        <v>98</v>
      </c>
      <c r="O50" s="18">
        <v>100</v>
      </c>
      <c r="P50" s="59">
        <f>AVERAGE(E50:O50)</f>
        <v>92.909090909090907</v>
      </c>
    </row>
    <row r="51" spans="1:16" s="5" customFormat="1" ht="13.5" customHeight="1" x14ac:dyDescent="0.3">
      <c r="A51" s="14"/>
      <c r="B51" s="16"/>
      <c r="C51" s="28"/>
      <c r="D51" s="22"/>
      <c r="E51" s="30" t="str">
        <f t="shared" ref="E51:O51" si="23">IF(E50&gt;=90,"A",IF(E50&gt;=80,"B",IF(E50&gt;=70,"C",IF(E50&gt;=60,"D","F"))))</f>
        <v>A</v>
      </c>
      <c r="F51" s="30" t="str">
        <f t="shared" si="23"/>
        <v>A</v>
      </c>
      <c r="G51" s="30" t="str">
        <f t="shared" si="23"/>
        <v>B</v>
      </c>
      <c r="H51" s="30" t="str">
        <f t="shared" si="23"/>
        <v>A</v>
      </c>
      <c r="I51" s="30" t="str">
        <f t="shared" si="23"/>
        <v>B</v>
      </c>
      <c r="J51" s="30" t="str">
        <f t="shared" si="23"/>
        <v>A</v>
      </c>
      <c r="K51" s="30" t="str">
        <f t="shared" si="23"/>
        <v>A</v>
      </c>
      <c r="L51" s="30" t="str">
        <f t="shared" si="23"/>
        <v>A</v>
      </c>
      <c r="M51" s="30" t="str">
        <f t="shared" si="23"/>
        <v>A</v>
      </c>
      <c r="N51" s="30" t="str">
        <f t="shared" si="23"/>
        <v>A</v>
      </c>
      <c r="O51" s="30" t="str">
        <f t="shared" si="23"/>
        <v>A</v>
      </c>
      <c r="P51" s="59"/>
    </row>
  </sheetData>
  <sheetProtection formatCells="0" formatColumns="0" formatRows="0" insertColumns="0" insertRows="0" insertHyperlinks="0" deleteColumns="0" deleteRows="0" sort="0" autoFilter="0" pivotTables="0"/>
  <autoFilter ref="A1:D51" xr:uid="{00000000-0009-0000-0000-00000F000000}">
    <filterColumn colId="0" showButton="0"/>
  </autoFilter>
  <mergeCells count="1">
    <mergeCell ref="A1:B2"/>
  </mergeCells>
  <pageMargins left="0.23" right="0.17" top="0.32" bottom="0" header="0.17" footer="0.3"/>
  <pageSetup paperSize="9" orientation="landscape" r:id="rId1"/>
  <headerFooter>
    <oddFooter xml:space="preserve">&amp;C
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43"/>
  <sheetViews>
    <sheetView zoomScaleNormal="100" workbookViewId="0">
      <selection activeCell="J5" sqref="J5"/>
    </sheetView>
  </sheetViews>
  <sheetFormatPr defaultRowHeight="15" x14ac:dyDescent="0.25"/>
  <cols>
    <col min="1" max="1" width="4" style="13" customWidth="1"/>
    <col min="2" max="2" width="21.7109375" style="28" customWidth="1"/>
    <col min="3" max="3" width="11.140625" style="28" bestFit="1" customWidth="1"/>
    <col min="4" max="4" width="4" style="7" customWidth="1"/>
    <col min="5" max="5" width="8" style="46" customWidth="1"/>
    <col min="6" max="6" width="8.28515625" style="46" customWidth="1"/>
    <col min="7" max="7" width="7.5703125" style="46" customWidth="1"/>
    <col min="8" max="8" width="8.28515625" style="46" bestFit="1" customWidth="1"/>
    <col min="9" max="9" width="10.7109375" style="46" customWidth="1"/>
    <col min="10" max="10" width="9.85546875" style="46" bestFit="1" customWidth="1"/>
    <col min="11" max="11" width="7.7109375" style="46" customWidth="1"/>
    <col min="12" max="12" width="6.42578125" style="46" customWidth="1"/>
    <col min="13" max="13" width="7.140625" style="46" customWidth="1"/>
    <col min="14" max="14" width="7.42578125" style="46" customWidth="1"/>
    <col min="15" max="15" width="9.5703125" style="46" customWidth="1"/>
    <col min="16" max="16" width="6.5703125" style="13" customWidth="1"/>
    <col min="17" max="17" width="7.140625" style="13" customWidth="1"/>
    <col min="18" max="18" width="6.42578125" style="13" customWidth="1"/>
    <col min="19" max="19" width="8.28515625" style="2" customWidth="1"/>
    <col min="20" max="16384" width="9.140625" style="2"/>
  </cols>
  <sheetData>
    <row r="1" spans="1:19" ht="6" customHeight="1" x14ac:dyDescent="0.25">
      <c r="A1" s="85" t="s">
        <v>632</v>
      </c>
      <c r="B1" s="86"/>
      <c r="C1" s="80"/>
    </row>
    <row r="2" spans="1:19" ht="10.5" customHeight="1" x14ac:dyDescent="0.25">
      <c r="A2" s="87"/>
      <c r="B2" s="88"/>
      <c r="C2" s="80"/>
    </row>
    <row r="3" spans="1:19" s="44" customFormat="1" ht="30" x14ac:dyDescent="0.25">
      <c r="A3" s="40" t="s">
        <v>0</v>
      </c>
      <c r="B3" s="41" t="s">
        <v>1</v>
      </c>
      <c r="C3" s="41"/>
      <c r="D3" s="42" t="s">
        <v>2</v>
      </c>
      <c r="E3" s="43" t="s">
        <v>426</v>
      </c>
      <c r="F3" s="43" t="s">
        <v>427</v>
      </c>
      <c r="G3" s="43" t="s">
        <v>451</v>
      </c>
      <c r="H3" s="43" t="s">
        <v>435</v>
      </c>
      <c r="I3" s="43" t="s">
        <v>453</v>
      </c>
      <c r="J3" s="43" t="s">
        <v>436</v>
      </c>
      <c r="K3" s="43" t="s">
        <v>827</v>
      </c>
      <c r="L3" s="43" t="s">
        <v>437</v>
      </c>
      <c r="M3" s="43" t="s">
        <v>431</v>
      </c>
      <c r="N3" s="43" t="s">
        <v>432</v>
      </c>
      <c r="O3" s="43" t="s">
        <v>445</v>
      </c>
      <c r="P3" s="47" t="s">
        <v>424</v>
      </c>
      <c r="Q3" s="47" t="s">
        <v>425</v>
      </c>
      <c r="R3" s="47" t="s">
        <v>438</v>
      </c>
      <c r="S3" s="45" t="s">
        <v>428</v>
      </c>
    </row>
    <row r="4" spans="1:19" s="5" customFormat="1" ht="13.5" customHeight="1" x14ac:dyDescent="0.25">
      <c r="A4" s="14">
        <v>1</v>
      </c>
      <c r="B4" s="16" t="s">
        <v>220</v>
      </c>
      <c r="C4" s="2" t="s">
        <v>614</v>
      </c>
      <c r="D4" s="22" t="s">
        <v>375</v>
      </c>
      <c r="E4" s="48">
        <v>75.599999999999994</v>
      </c>
      <c r="F4" s="48">
        <v>81</v>
      </c>
      <c r="G4" s="48">
        <v>85</v>
      </c>
      <c r="H4" s="48">
        <v>72</v>
      </c>
      <c r="I4" s="48">
        <v>75</v>
      </c>
      <c r="J4" s="48">
        <v>98</v>
      </c>
      <c r="K4" s="48">
        <v>65</v>
      </c>
      <c r="L4" s="48">
        <v>90</v>
      </c>
      <c r="M4" s="48">
        <v>81</v>
      </c>
      <c r="N4" s="48">
        <v>98</v>
      </c>
      <c r="O4" s="48">
        <v>98</v>
      </c>
      <c r="P4" s="22">
        <v>92</v>
      </c>
      <c r="Q4" s="22">
        <v>95</v>
      </c>
      <c r="R4" s="22">
        <v>90</v>
      </c>
      <c r="S4" s="59">
        <f>AVERAGE(E4:R4)</f>
        <v>85.399999999999991</v>
      </c>
    </row>
    <row r="5" spans="1:19" s="5" customFormat="1" ht="13.5" customHeight="1" x14ac:dyDescent="0.3">
      <c r="A5" s="14"/>
      <c r="B5" s="16"/>
      <c r="C5" s="2"/>
      <c r="D5" s="22"/>
      <c r="E5" s="30" t="str">
        <f t="shared" ref="E5:R5" si="0">IF(E4&gt;=90,"A",IF(E4&gt;=80,"B",IF(E4&gt;=70,"C",IF(E4&gt;=60,"D","F"))))</f>
        <v>C</v>
      </c>
      <c r="F5" s="30" t="str">
        <f t="shared" si="0"/>
        <v>B</v>
      </c>
      <c r="G5" s="30" t="str">
        <f t="shared" si="0"/>
        <v>B</v>
      </c>
      <c r="H5" s="30" t="str">
        <f t="shared" si="0"/>
        <v>C</v>
      </c>
      <c r="I5" s="30" t="str">
        <f t="shared" si="0"/>
        <v>C</v>
      </c>
      <c r="J5" s="30" t="str">
        <f t="shared" si="0"/>
        <v>A</v>
      </c>
      <c r="K5" s="30" t="str">
        <f t="shared" si="0"/>
        <v>D</v>
      </c>
      <c r="L5" s="30" t="str">
        <f t="shared" si="0"/>
        <v>A</v>
      </c>
      <c r="M5" s="30" t="str">
        <f t="shared" si="0"/>
        <v>B</v>
      </c>
      <c r="N5" s="30" t="str">
        <f t="shared" si="0"/>
        <v>A</v>
      </c>
      <c r="O5" s="30" t="str">
        <f t="shared" si="0"/>
        <v>A</v>
      </c>
      <c r="P5" s="30" t="str">
        <f t="shared" si="0"/>
        <v>A</v>
      </c>
      <c r="Q5" s="30" t="str">
        <f t="shared" si="0"/>
        <v>A</v>
      </c>
      <c r="R5" s="30" t="str">
        <f t="shared" si="0"/>
        <v>A</v>
      </c>
      <c r="S5" s="59"/>
    </row>
    <row r="6" spans="1:19" s="5" customFormat="1" ht="13.5" customHeight="1" x14ac:dyDescent="0.25">
      <c r="A6" s="14">
        <v>2</v>
      </c>
      <c r="B6" s="16" t="s">
        <v>221</v>
      </c>
      <c r="C6" s="2" t="s">
        <v>615</v>
      </c>
      <c r="D6" s="22" t="s">
        <v>375</v>
      </c>
      <c r="E6" s="48">
        <v>79</v>
      </c>
      <c r="F6" s="48">
        <v>96</v>
      </c>
      <c r="G6" s="48">
        <v>92</v>
      </c>
      <c r="H6" s="48">
        <v>83</v>
      </c>
      <c r="I6" s="48">
        <v>92</v>
      </c>
      <c r="J6" s="48">
        <v>100</v>
      </c>
      <c r="K6" s="48">
        <v>84</v>
      </c>
      <c r="L6" s="48">
        <v>97</v>
      </c>
      <c r="M6" s="48">
        <v>94</v>
      </c>
      <c r="N6" s="48">
        <v>98</v>
      </c>
      <c r="O6" s="48">
        <v>96</v>
      </c>
      <c r="P6" s="22">
        <v>100</v>
      </c>
      <c r="Q6" s="22">
        <v>90</v>
      </c>
      <c r="R6" s="22">
        <v>100</v>
      </c>
      <c r="S6" s="59">
        <f t="shared" ref="S6:S40" si="1">AVERAGE(E6:R6)</f>
        <v>92.928571428571431</v>
      </c>
    </row>
    <row r="7" spans="1:19" s="5" customFormat="1" ht="13.5" customHeight="1" x14ac:dyDescent="0.3">
      <c r="A7" s="14"/>
      <c r="B7" s="16"/>
      <c r="C7" s="2"/>
      <c r="D7" s="22"/>
      <c r="E7" s="30" t="str">
        <f t="shared" ref="E7:R7" si="2">IF(E6&gt;=90,"A",IF(E6&gt;=80,"B",IF(E6&gt;=70,"C",IF(E6&gt;=60,"D","F"))))</f>
        <v>C</v>
      </c>
      <c r="F7" s="30" t="str">
        <f t="shared" si="2"/>
        <v>A</v>
      </c>
      <c r="G7" s="30" t="str">
        <f t="shared" si="2"/>
        <v>A</v>
      </c>
      <c r="H7" s="30" t="str">
        <f t="shared" si="2"/>
        <v>B</v>
      </c>
      <c r="I7" s="30" t="str">
        <f t="shared" si="2"/>
        <v>A</v>
      </c>
      <c r="J7" s="30" t="str">
        <f t="shared" si="2"/>
        <v>A</v>
      </c>
      <c r="K7" s="30" t="str">
        <f t="shared" si="2"/>
        <v>B</v>
      </c>
      <c r="L7" s="30" t="str">
        <f t="shared" si="2"/>
        <v>A</v>
      </c>
      <c r="M7" s="30" t="str">
        <f t="shared" si="2"/>
        <v>A</v>
      </c>
      <c r="N7" s="30" t="str">
        <f t="shared" si="2"/>
        <v>A</v>
      </c>
      <c r="O7" s="30" t="str">
        <f t="shared" si="2"/>
        <v>A</v>
      </c>
      <c r="P7" s="30" t="str">
        <f t="shared" si="2"/>
        <v>A</v>
      </c>
      <c r="Q7" s="30" t="str">
        <f t="shared" si="2"/>
        <v>A</v>
      </c>
      <c r="R7" s="30" t="str">
        <f t="shared" si="2"/>
        <v>A</v>
      </c>
      <c r="S7" s="59"/>
    </row>
    <row r="8" spans="1:19" s="5" customFormat="1" ht="13.5" customHeight="1" x14ac:dyDescent="0.25">
      <c r="A8" s="14">
        <v>3</v>
      </c>
      <c r="B8" s="16" t="s">
        <v>222</v>
      </c>
      <c r="C8" s="2" t="s">
        <v>616</v>
      </c>
      <c r="D8" s="22" t="s">
        <v>376</v>
      </c>
      <c r="E8" s="48">
        <v>89</v>
      </c>
      <c r="F8" s="48">
        <v>83</v>
      </c>
      <c r="G8" s="48">
        <v>93</v>
      </c>
      <c r="H8" s="48">
        <v>73</v>
      </c>
      <c r="I8" s="48">
        <v>78</v>
      </c>
      <c r="J8" s="48">
        <v>80</v>
      </c>
      <c r="K8" s="48">
        <v>71</v>
      </c>
      <c r="L8" s="48">
        <v>93</v>
      </c>
      <c r="M8" s="48">
        <v>82</v>
      </c>
      <c r="N8" s="48">
        <v>97</v>
      </c>
      <c r="O8" s="48">
        <v>99</v>
      </c>
      <c r="P8" s="22">
        <v>88</v>
      </c>
      <c r="Q8" s="22">
        <v>95</v>
      </c>
      <c r="R8" s="22">
        <v>90</v>
      </c>
      <c r="S8" s="59">
        <f t="shared" si="1"/>
        <v>86.5</v>
      </c>
    </row>
    <row r="9" spans="1:19" s="5" customFormat="1" ht="13.5" customHeight="1" x14ac:dyDescent="0.3">
      <c r="A9" s="14"/>
      <c r="B9" s="16"/>
      <c r="C9" s="2"/>
      <c r="D9" s="22"/>
      <c r="E9" s="30" t="str">
        <f t="shared" ref="E9:R9" si="3">IF(E8&gt;=90,"A",IF(E8&gt;=80,"B",IF(E8&gt;=70,"C",IF(E8&gt;=60,"D","F"))))</f>
        <v>B</v>
      </c>
      <c r="F9" s="30" t="str">
        <f t="shared" si="3"/>
        <v>B</v>
      </c>
      <c r="G9" s="30" t="str">
        <f t="shared" si="3"/>
        <v>A</v>
      </c>
      <c r="H9" s="30" t="str">
        <f t="shared" si="3"/>
        <v>C</v>
      </c>
      <c r="I9" s="30" t="str">
        <f t="shared" si="3"/>
        <v>C</v>
      </c>
      <c r="J9" s="30" t="str">
        <f t="shared" si="3"/>
        <v>B</v>
      </c>
      <c r="K9" s="30" t="str">
        <f t="shared" si="3"/>
        <v>C</v>
      </c>
      <c r="L9" s="30" t="str">
        <f t="shared" si="3"/>
        <v>A</v>
      </c>
      <c r="M9" s="30" t="str">
        <f t="shared" si="3"/>
        <v>B</v>
      </c>
      <c r="N9" s="30" t="str">
        <f t="shared" si="3"/>
        <v>A</v>
      </c>
      <c r="O9" s="30" t="str">
        <f t="shared" si="3"/>
        <v>A</v>
      </c>
      <c r="P9" s="30" t="str">
        <f t="shared" si="3"/>
        <v>B</v>
      </c>
      <c r="Q9" s="30" t="str">
        <f t="shared" si="3"/>
        <v>A</v>
      </c>
      <c r="R9" s="30" t="str">
        <f t="shared" si="3"/>
        <v>A</v>
      </c>
      <c r="S9" s="59"/>
    </row>
    <row r="10" spans="1:19" s="5" customFormat="1" ht="13.5" customHeight="1" x14ac:dyDescent="0.25">
      <c r="A10" s="14">
        <v>4</v>
      </c>
      <c r="B10" s="16" t="s">
        <v>223</v>
      </c>
      <c r="C10" s="2" t="s">
        <v>617</v>
      </c>
      <c r="D10" s="22" t="s">
        <v>376</v>
      </c>
      <c r="E10" s="48">
        <v>76</v>
      </c>
      <c r="F10" s="48">
        <v>88</v>
      </c>
      <c r="G10" s="48">
        <v>82</v>
      </c>
      <c r="H10" s="48">
        <v>67</v>
      </c>
      <c r="I10" s="48">
        <v>79</v>
      </c>
      <c r="J10" s="48">
        <v>93</v>
      </c>
      <c r="K10" s="48">
        <v>78</v>
      </c>
      <c r="L10" s="48">
        <v>90</v>
      </c>
      <c r="M10" s="48">
        <v>82</v>
      </c>
      <c r="N10" s="48">
        <v>98</v>
      </c>
      <c r="O10" s="48">
        <v>97</v>
      </c>
      <c r="P10" s="22">
        <v>92</v>
      </c>
      <c r="Q10" s="22">
        <v>90</v>
      </c>
      <c r="R10" s="22">
        <v>92</v>
      </c>
      <c r="S10" s="59">
        <f t="shared" si="1"/>
        <v>86</v>
      </c>
    </row>
    <row r="11" spans="1:19" s="5" customFormat="1" ht="13.5" customHeight="1" x14ac:dyDescent="0.3">
      <c r="A11" s="14"/>
      <c r="B11" s="16"/>
      <c r="C11" s="2"/>
      <c r="D11" s="22"/>
      <c r="E11" s="30" t="str">
        <f t="shared" ref="E11:R11" si="4">IF(E10&gt;=90,"A",IF(E10&gt;=80,"B",IF(E10&gt;=70,"C",IF(E10&gt;=60,"D","F"))))</f>
        <v>C</v>
      </c>
      <c r="F11" s="30" t="str">
        <f t="shared" si="4"/>
        <v>B</v>
      </c>
      <c r="G11" s="30" t="str">
        <f t="shared" si="4"/>
        <v>B</v>
      </c>
      <c r="H11" s="30" t="str">
        <f t="shared" si="4"/>
        <v>D</v>
      </c>
      <c r="I11" s="30" t="str">
        <f t="shared" si="4"/>
        <v>C</v>
      </c>
      <c r="J11" s="30" t="str">
        <f t="shared" si="4"/>
        <v>A</v>
      </c>
      <c r="K11" s="30" t="str">
        <f t="shared" si="4"/>
        <v>C</v>
      </c>
      <c r="L11" s="30" t="str">
        <f t="shared" si="4"/>
        <v>A</v>
      </c>
      <c r="M11" s="30" t="str">
        <f t="shared" si="4"/>
        <v>B</v>
      </c>
      <c r="N11" s="30" t="str">
        <f t="shared" si="4"/>
        <v>A</v>
      </c>
      <c r="O11" s="30" t="str">
        <f t="shared" si="4"/>
        <v>A</v>
      </c>
      <c r="P11" s="30" t="str">
        <f t="shared" si="4"/>
        <v>A</v>
      </c>
      <c r="Q11" s="30" t="str">
        <f t="shared" si="4"/>
        <v>A</v>
      </c>
      <c r="R11" s="30" t="str">
        <f t="shared" si="4"/>
        <v>A</v>
      </c>
      <c r="S11" s="59"/>
    </row>
    <row r="12" spans="1:19" s="5" customFormat="1" ht="13.5" customHeight="1" x14ac:dyDescent="0.25">
      <c r="A12" s="14">
        <v>5</v>
      </c>
      <c r="B12" s="16" t="s">
        <v>224</v>
      </c>
      <c r="C12" s="2" t="s">
        <v>618</v>
      </c>
      <c r="D12" s="22" t="s">
        <v>375</v>
      </c>
      <c r="E12" s="48">
        <v>66</v>
      </c>
      <c r="F12" s="48">
        <v>78</v>
      </c>
      <c r="G12" s="48">
        <v>78</v>
      </c>
      <c r="H12" s="48">
        <v>78</v>
      </c>
      <c r="I12" s="48">
        <v>64</v>
      </c>
      <c r="J12" s="48">
        <v>92</v>
      </c>
      <c r="K12" s="48">
        <v>69</v>
      </c>
      <c r="L12" s="48">
        <v>90</v>
      </c>
      <c r="M12" s="48">
        <v>73</v>
      </c>
      <c r="N12" s="48">
        <v>88</v>
      </c>
      <c r="O12" s="48">
        <v>99</v>
      </c>
      <c r="P12" s="22">
        <v>100</v>
      </c>
      <c r="Q12" s="22">
        <v>90</v>
      </c>
      <c r="R12" s="22">
        <v>92</v>
      </c>
      <c r="S12" s="59">
        <f t="shared" si="1"/>
        <v>82.642857142857139</v>
      </c>
    </row>
    <row r="13" spans="1:19" s="5" customFormat="1" ht="13.5" customHeight="1" x14ac:dyDescent="0.3">
      <c r="A13" s="14"/>
      <c r="B13" s="16"/>
      <c r="C13" s="2"/>
      <c r="D13" s="22"/>
      <c r="E13" s="30" t="str">
        <f t="shared" ref="E13:R13" si="5">IF(E12&gt;=90,"A",IF(E12&gt;=80,"B",IF(E12&gt;=70,"C",IF(E12&gt;=60,"D","F"))))</f>
        <v>D</v>
      </c>
      <c r="F13" s="30" t="str">
        <f t="shared" si="5"/>
        <v>C</v>
      </c>
      <c r="G13" s="30" t="str">
        <f t="shared" si="5"/>
        <v>C</v>
      </c>
      <c r="H13" s="30" t="str">
        <f t="shared" si="5"/>
        <v>C</v>
      </c>
      <c r="I13" s="30" t="str">
        <f t="shared" si="5"/>
        <v>D</v>
      </c>
      <c r="J13" s="30" t="str">
        <f t="shared" si="5"/>
        <v>A</v>
      </c>
      <c r="K13" s="30" t="str">
        <f t="shared" si="5"/>
        <v>D</v>
      </c>
      <c r="L13" s="30" t="str">
        <f t="shared" si="5"/>
        <v>A</v>
      </c>
      <c r="M13" s="30" t="str">
        <f t="shared" si="5"/>
        <v>C</v>
      </c>
      <c r="N13" s="30" t="str">
        <f t="shared" si="5"/>
        <v>B</v>
      </c>
      <c r="O13" s="30" t="str">
        <f t="shared" si="5"/>
        <v>A</v>
      </c>
      <c r="P13" s="30" t="str">
        <f t="shared" si="5"/>
        <v>A</v>
      </c>
      <c r="Q13" s="30" t="str">
        <f t="shared" si="5"/>
        <v>A</v>
      </c>
      <c r="R13" s="30" t="str">
        <f t="shared" si="5"/>
        <v>A</v>
      </c>
      <c r="S13" s="59"/>
    </row>
    <row r="14" spans="1:19" s="5" customFormat="1" ht="13.5" customHeight="1" x14ac:dyDescent="0.25">
      <c r="A14" s="14">
        <v>6</v>
      </c>
      <c r="B14" s="16" t="s">
        <v>225</v>
      </c>
      <c r="C14" s="2" t="s">
        <v>619</v>
      </c>
      <c r="D14" s="22" t="s">
        <v>376</v>
      </c>
      <c r="E14" s="48">
        <v>85</v>
      </c>
      <c r="F14" s="48">
        <v>92</v>
      </c>
      <c r="G14" s="48">
        <v>97</v>
      </c>
      <c r="H14" s="48">
        <v>85</v>
      </c>
      <c r="I14" s="48">
        <v>89</v>
      </c>
      <c r="J14" s="48">
        <v>93</v>
      </c>
      <c r="K14" s="48">
        <v>78</v>
      </c>
      <c r="L14" s="48">
        <v>87</v>
      </c>
      <c r="M14" s="48">
        <v>91</v>
      </c>
      <c r="N14" s="48">
        <v>88</v>
      </c>
      <c r="O14" s="48">
        <v>99</v>
      </c>
      <c r="P14" s="22">
        <v>93</v>
      </c>
      <c r="Q14" s="22">
        <v>100</v>
      </c>
      <c r="R14" s="22">
        <v>94</v>
      </c>
      <c r="S14" s="59">
        <f t="shared" si="1"/>
        <v>90.785714285714292</v>
      </c>
    </row>
    <row r="15" spans="1:19" s="5" customFormat="1" ht="13.5" customHeight="1" x14ac:dyDescent="0.3">
      <c r="A15" s="14"/>
      <c r="B15" s="16"/>
      <c r="C15" s="2"/>
      <c r="D15" s="22"/>
      <c r="E15" s="30" t="str">
        <f t="shared" ref="E15:R15" si="6">IF(E14&gt;=90,"A",IF(E14&gt;=80,"B",IF(E14&gt;=70,"C",IF(E14&gt;=60,"D","F"))))</f>
        <v>B</v>
      </c>
      <c r="F15" s="30" t="str">
        <f t="shared" si="6"/>
        <v>A</v>
      </c>
      <c r="G15" s="30" t="str">
        <f t="shared" si="6"/>
        <v>A</v>
      </c>
      <c r="H15" s="30" t="str">
        <f t="shared" si="6"/>
        <v>B</v>
      </c>
      <c r="I15" s="30" t="str">
        <f t="shared" si="6"/>
        <v>B</v>
      </c>
      <c r="J15" s="30" t="str">
        <f t="shared" si="6"/>
        <v>A</v>
      </c>
      <c r="K15" s="30" t="str">
        <f t="shared" si="6"/>
        <v>C</v>
      </c>
      <c r="L15" s="30" t="str">
        <f t="shared" si="6"/>
        <v>B</v>
      </c>
      <c r="M15" s="30" t="str">
        <f t="shared" si="6"/>
        <v>A</v>
      </c>
      <c r="N15" s="30" t="str">
        <f t="shared" si="6"/>
        <v>B</v>
      </c>
      <c r="O15" s="30" t="str">
        <f t="shared" si="6"/>
        <v>A</v>
      </c>
      <c r="P15" s="30" t="str">
        <f t="shared" si="6"/>
        <v>A</v>
      </c>
      <c r="Q15" s="30" t="str">
        <f t="shared" si="6"/>
        <v>A</v>
      </c>
      <c r="R15" s="30" t="str">
        <f t="shared" si="6"/>
        <v>A</v>
      </c>
      <c r="S15" s="59"/>
    </row>
    <row r="16" spans="1:19" s="5" customFormat="1" ht="13.5" customHeight="1" x14ac:dyDescent="0.25">
      <c r="A16" s="14">
        <v>7</v>
      </c>
      <c r="B16" s="16" t="s">
        <v>226</v>
      </c>
      <c r="C16" s="2" t="s">
        <v>620</v>
      </c>
      <c r="D16" s="22" t="s">
        <v>376</v>
      </c>
      <c r="E16" s="48">
        <v>90</v>
      </c>
      <c r="F16" s="48">
        <v>94</v>
      </c>
      <c r="G16" s="48">
        <v>94</v>
      </c>
      <c r="H16" s="48">
        <v>74</v>
      </c>
      <c r="I16" s="48">
        <v>94</v>
      </c>
      <c r="J16" s="48">
        <v>96</v>
      </c>
      <c r="K16" s="48">
        <v>76</v>
      </c>
      <c r="L16" s="48">
        <v>91</v>
      </c>
      <c r="M16" s="48">
        <v>92</v>
      </c>
      <c r="N16" s="48">
        <v>98</v>
      </c>
      <c r="O16" s="48">
        <v>99</v>
      </c>
      <c r="P16" s="22">
        <v>96</v>
      </c>
      <c r="Q16" s="22">
        <v>100</v>
      </c>
      <c r="R16" s="22">
        <v>100</v>
      </c>
      <c r="S16" s="59">
        <f t="shared" si="1"/>
        <v>92.428571428571431</v>
      </c>
    </row>
    <row r="17" spans="1:19" s="5" customFormat="1" ht="13.5" customHeight="1" x14ac:dyDescent="0.3">
      <c r="A17" s="14"/>
      <c r="B17" s="16"/>
      <c r="C17" s="2"/>
      <c r="D17" s="22"/>
      <c r="E17" s="30" t="str">
        <f t="shared" ref="E17:R17" si="7">IF(E16&gt;=90,"A",IF(E16&gt;=80,"B",IF(E16&gt;=70,"C",IF(E16&gt;=60,"D","F"))))</f>
        <v>A</v>
      </c>
      <c r="F17" s="30" t="str">
        <f t="shared" si="7"/>
        <v>A</v>
      </c>
      <c r="G17" s="30" t="str">
        <f t="shared" si="7"/>
        <v>A</v>
      </c>
      <c r="H17" s="30" t="str">
        <f t="shared" si="7"/>
        <v>C</v>
      </c>
      <c r="I17" s="30" t="str">
        <f t="shared" si="7"/>
        <v>A</v>
      </c>
      <c r="J17" s="30" t="str">
        <f t="shared" si="7"/>
        <v>A</v>
      </c>
      <c r="K17" s="30" t="str">
        <f t="shared" si="7"/>
        <v>C</v>
      </c>
      <c r="L17" s="30" t="str">
        <f t="shared" si="7"/>
        <v>A</v>
      </c>
      <c r="M17" s="30" t="str">
        <f t="shared" si="7"/>
        <v>A</v>
      </c>
      <c r="N17" s="30" t="str">
        <f t="shared" si="7"/>
        <v>A</v>
      </c>
      <c r="O17" s="30" t="str">
        <f t="shared" si="7"/>
        <v>A</v>
      </c>
      <c r="P17" s="30" t="str">
        <f t="shared" si="7"/>
        <v>A</v>
      </c>
      <c r="Q17" s="30" t="str">
        <f t="shared" si="7"/>
        <v>A</v>
      </c>
      <c r="R17" s="30" t="str">
        <f t="shared" si="7"/>
        <v>A</v>
      </c>
      <c r="S17" s="59"/>
    </row>
    <row r="18" spans="1:19" s="5" customFormat="1" ht="13.5" customHeight="1" x14ac:dyDescent="0.25">
      <c r="A18" s="14">
        <v>8</v>
      </c>
      <c r="B18" s="16" t="s">
        <v>227</v>
      </c>
      <c r="C18" s="2" t="s">
        <v>621</v>
      </c>
      <c r="D18" s="22" t="s">
        <v>376</v>
      </c>
      <c r="E18" s="48">
        <v>79</v>
      </c>
      <c r="F18" s="48">
        <v>91</v>
      </c>
      <c r="G18" s="48">
        <v>90</v>
      </c>
      <c r="H18" s="48">
        <v>70</v>
      </c>
      <c r="I18" s="48">
        <v>73</v>
      </c>
      <c r="J18" s="48">
        <v>87</v>
      </c>
      <c r="K18" s="48">
        <v>78</v>
      </c>
      <c r="L18" s="48">
        <v>92</v>
      </c>
      <c r="M18" s="48">
        <v>91</v>
      </c>
      <c r="N18" s="48">
        <v>100</v>
      </c>
      <c r="O18" s="48">
        <v>95</v>
      </c>
      <c r="P18" s="22">
        <v>98</v>
      </c>
      <c r="Q18" s="22">
        <v>95</v>
      </c>
      <c r="R18" s="22">
        <v>93</v>
      </c>
      <c r="S18" s="59">
        <f t="shared" si="1"/>
        <v>88</v>
      </c>
    </row>
    <row r="19" spans="1:19" s="5" customFormat="1" ht="13.5" customHeight="1" x14ac:dyDescent="0.3">
      <c r="A19" s="14"/>
      <c r="B19" s="16"/>
      <c r="C19" s="2"/>
      <c r="D19" s="22"/>
      <c r="E19" s="30" t="str">
        <f t="shared" ref="E19:R19" si="8">IF(E18&gt;=90,"A",IF(E18&gt;=80,"B",IF(E18&gt;=70,"C",IF(E18&gt;=60,"D","F"))))</f>
        <v>C</v>
      </c>
      <c r="F19" s="30" t="str">
        <f t="shared" si="8"/>
        <v>A</v>
      </c>
      <c r="G19" s="30" t="str">
        <f t="shared" si="8"/>
        <v>A</v>
      </c>
      <c r="H19" s="30" t="str">
        <f t="shared" si="8"/>
        <v>C</v>
      </c>
      <c r="I19" s="30" t="str">
        <f t="shared" si="8"/>
        <v>C</v>
      </c>
      <c r="J19" s="30" t="str">
        <f t="shared" si="8"/>
        <v>B</v>
      </c>
      <c r="K19" s="30" t="str">
        <f t="shared" si="8"/>
        <v>C</v>
      </c>
      <c r="L19" s="30" t="str">
        <f t="shared" si="8"/>
        <v>A</v>
      </c>
      <c r="M19" s="30" t="str">
        <f t="shared" si="8"/>
        <v>A</v>
      </c>
      <c r="N19" s="30" t="str">
        <f t="shared" si="8"/>
        <v>A</v>
      </c>
      <c r="O19" s="30" t="str">
        <f t="shared" si="8"/>
        <v>A</v>
      </c>
      <c r="P19" s="30" t="str">
        <f t="shared" si="8"/>
        <v>A</v>
      </c>
      <c r="Q19" s="30" t="str">
        <f t="shared" si="8"/>
        <v>A</v>
      </c>
      <c r="R19" s="30" t="str">
        <f t="shared" si="8"/>
        <v>A</v>
      </c>
      <c r="S19" s="59"/>
    </row>
    <row r="20" spans="1:19" s="5" customFormat="1" ht="13.5" customHeight="1" x14ac:dyDescent="0.25">
      <c r="A20" s="14">
        <v>9</v>
      </c>
      <c r="B20" s="16" t="s">
        <v>228</v>
      </c>
      <c r="C20" s="2" t="s">
        <v>622</v>
      </c>
      <c r="D20" s="22" t="s">
        <v>375</v>
      </c>
      <c r="E20" s="48">
        <v>88</v>
      </c>
      <c r="F20" s="48">
        <v>90</v>
      </c>
      <c r="G20" s="48">
        <v>97</v>
      </c>
      <c r="H20" s="48">
        <v>85</v>
      </c>
      <c r="I20" s="48">
        <v>78</v>
      </c>
      <c r="J20" s="48">
        <v>95</v>
      </c>
      <c r="K20" s="48">
        <v>83</v>
      </c>
      <c r="L20" s="48">
        <v>94</v>
      </c>
      <c r="M20" s="48">
        <v>76</v>
      </c>
      <c r="N20" s="48">
        <v>100</v>
      </c>
      <c r="O20" s="48">
        <v>97</v>
      </c>
      <c r="P20" s="22">
        <v>93</v>
      </c>
      <c r="Q20" s="22">
        <v>100</v>
      </c>
      <c r="R20" s="22">
        <v>96</v>
      </c>
      <c r="S20" s="59">
        <f t="shared" si="1"/>
        <v>90.857142857142861</v>
      </c>
    </row>
    <row r="21" spans="1:19" s="5" customFormat="1" ht="13.5" customHeight="1" x14ac:dyDescent="0.3">
      <c r="A21" s="14"/>
      <c r="B21" s="16"/>
      <c r="C21" s="2"/>
      <c r="D21" s="22"/>
      <c r="E21" s="30" t="str">
        <f t="shared" ref="E21:R21" si="9">IF(E20&gt;=90,"A",IF(E20&gt;=80,"B",IF(E20&gt;=70,"C",IF(E20&gt;=60,"D","F"))))</f>
        <v>B</v>
      </c>
      <c r="F21" s="30" t="str">
        <f t="shared" si="9"/>
        <v>A</v>
      </c>
      <c r="G21" s="30" t="str">
        <f t="shared" si="9"/>
        <v>A</v>
      </c>
      <c r="H21" s="30" t="str">
        <f t="shared" si="9"/>
        <v>B</v>
      </c>
      <c r="I21" s="30" t="str">
        <f t="shared" si="9"/>
        <v>C</v>
      </c>
      <c r="J21" s="30" t="str">
        <f t="shared" si="9"/>
        <v>A</v>
      </c>
      <c r="K21" s="30" t="str">
        <f t="shared" si="9"/>
        <v>B</v>
      </c>
      <c r="L21" s="30" t="str">
        <f t="shared" si="9"/>
        <v>A</v>
      </c>
      <c r="M21" s="30" t="str">
        <f t="shared" si="9"/>
        <v>C</v>
      </c>
      <c r="N21" s="30" t="str">
        <f t="shared" si="9"/>
        <v>A</v>
      </c>
      <c r="O21" s="30" t="str">
        <f t="shared" si="9"/>
        <v>A</v>
      </c>
      <c r="P21" s="30" t="str">
        <f t="shared" si="9"/>
        <v>A</v>
      </c>
      <c r="Q21" s="30" t="str">
        <f t="shared" si="9"/>
        <v>A</v>
      </c>
      <c r="R21" s="30" t="str">
        <f t="shared" si="9"/>
        <v>A</v>
      </c>
      <c r="S21" s="59"/>
    </row>
    <row r="22" spans="1:19" s="5" customFormat="1" ht="13.5" customHeight="1" x14ac:dyDescent="0.25">
      <c r="A22" s="14">
        <v>10</v>
      </c>
      <c r="B22" s="16" t="s">
        <v>229</v>
      </c>
      <c r="C22" s="2" t="s">
        <v>623</v>
      </c>
      <c r="D22" s="22" t="s">
        <v>376</v>
      </c>
      <c r="E22" s="22">
        <v>84</v>
      </c>
      <c r="F22" s="22">
        <v>80</v>
      </c>
      <c r="G22" s="48">
        <v>92</v>
      </c>
      <c r="H22" s="48">
        <v>82</v>
      </c>
      <c r="I22" s="48">
        <v>93</v>
      </c>
      <c r="J22" s="48">
        <v>90</v>
      </c>
      <c r="K22" s="48">
        <v>79</v>
      </c>
      <c r="L22" s="48">
        <v>82</v>
      </c>
      <c r="M22" s="48">
        <v>91</v>
      </c>
      <c r="N22" s="48">
        <v>98</v>
      </c>
      <c r="O22" s="48">
        <v>99</v>
      </c>
      <c r="P22" s="22">
        <v>96</v>
      </c>
      <c r="Q22" s="22">
        <v>95</v>
      </c>
      <c r="R22" s="22">
        <v>91</v>
      </c>
      <c r="S22" s="59">
        <f t="shared" si="1"/>
        <v>89.428571428571431</v>
      </c>
    </row>
    <row r="23" spans="1:19" s="5" customFormat="1" ht="13.5" customHeight="1" x14ac:dyDescent="0.3">
      <c r="A23" s="14"/>
      <c r="B23" s="16"/>
      <c r="C23" s="2"/>
      <c r="D23" s="22"/>
      <c r="E23" s="30" t="str">
        <f t="shared" ref="E23:R23" si="10">IF(E22&gt;=90,"A",IF(E22&gt;=80,"B",IF(E22&gt;=70,"C",IF(E22&gt;=60,"D","F"))))</f>
        <v>B</v>
      </c>
      <c r="F23" s="30" t="str">
        <f t="shared" si="10"/>
        <v>B</v>
      </c>
      <c r="G23" s="30" t="str">
        <f t="shared" si="10"/>
        <v>A</v>
      </c>
      <c r="H23" s="30" t="str">
        <f t="shared" si="10"/>
        <v>B</v>
      </c>
      <c r="I23" s="30" t="str">
        <f t="shared" si="10"/>
        <v>A</v>
      </c>
      <c r="J23" s="30" t="str">
        <f t="shared" si="10"/>
        <v>A</v>
      </c>
      <c r="K23" s="30" t="str">
        <f t="shared" si="10"/>
        <v>C</v>
      </c>
      <c r="L23" s="30" t="str">
        <f t="shared" si="10"/>
        <v>B</v>
      </c>
      <c r="M23" s="30" t="str">
        <f t="shared" si="10"/>
        <v>A</v>
      </c>
      <c r="N23" s="30" t="str">
        <f t="shared" si="10"/>
        <v>A</v>
      </c>
      <c r="O23" s="30" t="str">
        <f t="shared" si="10"/>
        <v>A</v>
      </c>
      <c r="P23" s="30" t="str">
        <f t="shared" si="10"/>
        <v>A</v>
      </c>
      <c r="Q23" s="30" t="str">
        <f t="shared" si="10"/>
        <v>A</v>
      </c>
      <c r="R23" s="30" t="str">
        <f t="shared" si="10"/>
        <v>A</v>
      </c>
      <c r="S23" s="59"/>
    </row>
    <row r="24" spans="1:19" s="5" customFormat="1" ht="13.5" customHeight="1" x14ac:dyDescent="0.25">
      <c r="A24" s="14">
        <v>11</v>
      </c>
      <c r="B24" s="16" t="s">
        <v>230</v>
      </c>
      <c r="C24" s="2" t="s">
        <v>624</v>
      </c>
      <c r="D24" s="22" t="s">
        <v>376</v>
      </c>
      <c r="E24" s="48">
        <v>96</v>
      </c>
      <c r="F24" s="48">
        <v>88</v>
      </c>
      <c r="G24" s="48">
        <v>99</v>
      </c>
      <c r="H24" s="48">
        <v>86</v>
      </c>
      <c r="I24" s="48">
        <v>92</v>
      </c>
      <c r="J24" s="48">
        <v>94</v>
      </c>
      <c r="K24" s="48">
        <v>85</v>
      </c>
      <c r="L24" s="48">
        <v>92</v>
      </c>
      <c r="M24" s="48">
        <v>97</v>
      </c>
      <c r="N24" s="48">
        <v>93</v>
      </c>
      <c r="O24" s="48">
        <v>100</v>
      </c>
      <c r="P24" s="22">
        <v>98</v>
      </c>
      <c r="Q24" s="22">
        <v>95</v>
      </c>
      <c r="R24" s="22">
        <v>96</v>
      </c>
      <c r="S24" s="59">
        <f t="shared" si="1"/>
        <v>93.642857142857139</v>
      </c>
    </row>
    <row r="25" spans="1:19" s="5" customFormat="1" ht="13.5" customHeight="1" x14ac:dyDescent="0.3">
      <c r="A25" s="14"/>
      <c r="B25" s="16"/>
      <c r="C25" s="2"/>
      <c r="D25" s="22"/>
      <c r="E25" s="30" t="str">
        <f t="shared" ref="E25:R25" si="11">IF(E24&gt;=90,"A",IF(E24&gt;=80,"B",IF(E24&gt;=70,"C",IF(E24&gt;=60,"D","F"))))</f>
        <v>A</v>
      </c>
      <c r="F25" s="30" t="str">
        <f t="shared" si="11"/>
        <v>B</v>
      </c>
      <c r="G25" s="30" t="str">
        <f t="shared" si="11"/>
        <v>A</v>
      </c>
      <c r="H25" s="30" t="str">
        <f t="shared" si="11"/>
        <v>B</v>
      </c>
      <c r="I25" s="30" t="str">
        <f t="shared" si="11"/>
        <v>A</v>
      </c>
      <c r="J25" s="30" t="str">
        <f t="shared" si="11"/>
        <v>A</v>
      </c>
      <c r="K25" s="30" t="str">
        <f t="shared" si="11"/>
        <v>B</v>
      </c>
      <c r="L25" s="30" t="str">
        <f t="shared" si="11"/>
        <v>A</v>
      </c>
      <c r="M25" s="30" t="str">
        <f t="shared" si="11"/>
        <v>A</v>
      </c>
      <c r="N25" s="30" t="str">
        <f t="shared" si="11"/>
        <v>A</v>
      </c>
      <c r="O25" s="30" t="str">
        <f t="shared" si="11"/>
        <v>A</v>
      </c>
      <c r="P25" s="30" t="str">
        <f t="shared" si="11"/>
        <v>A</v>
      </c>
      <c r="Q25" s="30" t="str">
        <f t="shared" si="11"/>
        <v>A</v>
      </c>
      <c r="R25" s="30" t="str">
        <f t="shared" si="11"/>
        <v>A</v>
      </c>
      <c r="S25" s="59"/>
    </row>
    <row r="26" spans="1:19" s="5" customFormat="1" ht="13.5" customHeight="1" x14ac:dyDescent="0.25">
      <c r="A26" s="14">
        <v>12</v>
      </c>
      <c r="B26" s="15" t="s">
        <v>371</v>
      </c>
      <c r="C26" s="2" t="s">
        <v>625</v>
      </c>
      <c r="D26" s="22" t="s">
        <v>376</v>
      </c>
      <c r="E26" s="48">
        <v>87</v>
      </c>
      <c r="F26" s="48">
        <v>95</v>
      </c>
      <c r="G26" s="48">
        <v>90</v>
      </c>
      <c r="H26" s="48">
        <v>75</v>
      </c>
      <c r="I26" s="48">
        <v>80</v>
      </c>
      <c r="J26" s="48">
        <v>97</v>
      </c>
      <c r="K26" s="48">
        <v>88</v>
      </c>
      <c r="L26" s="48">
        <v>87</v>
      </c>
      <c r="M26" s="48">
        <v>94</v>
      </c>
      <c r="N26" s="48">
        <v>97</v>
      </c>
      <c r="O26" s="48">
        <v>99</v>
      </c>
      <c r="P26" s="22">
        <v>96</v>
      </c>
      <c r="Q26" s="22">
        <v>100</v>
      </c>
      <c r="R26" s="22">
        <v>96</v>
      </c>
      <c r="S26" s="59">
        <f t="shared" si="1"/>
        <v>91.5</v>
      </c>
    </row>
    <row r="27" spans="1:19" s="5" customFormat="1" ht="13.5" customHeight="1" x14ac:dyDescent="0.3">
      <c r="A27" s="14"/>
      <c r="B27" s="15"/>
      <c r="C27" s="2"/>
      <c r="D27" s="22"/>
      <c r="E27" s="30" t="str">
        <f t="shared" ref="E27:R27" si="12">IF(E26&gt;=90,"A",IF(E26&gt;=80,"B",IF(E26&gt;=70,"C",IF(E26&gt;=60,"D","F"))))</f>
        <v>B</v>
      </c>
      <c r="F27" s="30" t="str">
        <f t="shared" si="12"/>
        <v>A</v>
      </c>
      <c r="G27" s="30" t="str">
        <f t="shared" si="12"/>
        <v>A</v>
      </c>
      <c r="H27" s="30" t="str">
        <f t="shared" si="12"/>
        <v>C</v>
      </c>
      <c r="I27" s="30" t="str">
        <f t="shared" si="12"/>
        <v>B</v>
      </c>
      <c r="J27" s="30" t="str">
        <f t="shared" si="12"/>
        <v>A</v>
      </c>
      <c r="K27" s="30" t="str">
        <f t="shared" si="12"/>
        <v>B</v>
      </c>
      <c r="L27" s="30" t="str">
        <f t="shared" si="12"/>
        <v>B</v>
      </c>
      <c r="M27" s="30" t="str">
        <f t="shared" si="12"/>
        <v>A</v>
      </c>
      <c r="N27" s="30" t="str">
        <f t="shared" si="12"/>
        <v>A</v>
      </c>
      <c r="O27" s="30" t="str">
        <f t="shared" si="12"/>
        <v>A</v>
      </c>
      <c r="P27" s="30" t="str">
        <f t="shared" si="12"/>
        <v>A</v>
      </c>
      <c r="Q27" s="30" t="str">
        <f t="shared" si="12"/>
        <v>A</v>
      </c>
      <c r="R27" s="30" t="str">
        <f t="shared" si="12"/>
        <v>A</v>
      </c>
      <c r="S27" s="59"/>
    </row>
    <row r="28" spans="1:19" s="5" customFormat="1" ht="13.5" customHeight="1" x14ac:dyDescent="0.25">
      <c r="A28" s="14">
        <v>13</v>
      </c>
      <c r="B28" s="16" t="s">
        <v>231</v>
      </c>
      <c r="C28" s="2" t="s">
        <v>626</v>
      </c>
      <c r="D28" s="22" t="s">
        <v>375</v>
      </c>
      <c r="E28" s="48">
        <v>90</v>
      </c>
      <c r="F28" s="48">
        <v>90</v>
      </c>
      <c r="G28" s="48">
        <v>95</v>
      </c>
      <c r="H28" s="48">
        <v>65</v>
      </c>
      <c r="I28" s="48">
        <v>89</v>
      </c>
      <c r="J28" s="48">
        <v>93</v>
      </c>
      <c r="K28" s="48">
        <v>68</v>
      </c>
      <c r="L28" s="48">
        <v>82</v>
      </c>
      <c r="M28" s="48">
        <v>86</v>
      </c>
      <c r="N28" s="48">
        <v>100</v>
      </c>
      <c r="O28" s="48">
        <v>95</v>
      </c>
      <c r="P28" s="22">
        <v>94</v>
      </c>
      <c r="Q28" s="22">
        <v>100</v>
      </c>
      <c r="R28" s="22">
        <v>95</v>
      </c>
      <c r="S28" s="59">
        <f t="shared" si="1"/>
        <v>88.714285714285708</v>
      </c>
    </row>
    <row r="29" spans="1:19" s="5" customFormat="1" ht="13.5" customHeight="1" x14ac:dyDescent="0.3">
      <c r="A29" s="14"/>
      <c r="B29" s="16"/>
      <c r="C29" s="2"/>
      <c r="D29" s="22"/>
      <c r="E29" s="30" t="str">
        <f t="shared" ref="E29:R29" si="13">IF(E28&gt;=90,"A",IF(E28&gt;=80,"B",IF(E28&gt;=70,"C",IF(E28&gt;=60,"D","F"))))</f>
        <v>A</v>
      </c>
      <c r="F29" s="30" t="str">
        <f t="shared" si="13"/>
        <v>A</v>
      </c>
      <c r="G29" s="30" t="str">
        <f t="shared" si="13"/>
        <v>A</v>
      </c>
      <c r="H29" s="30" t="str">
        <f t="shared" si="13"/>
        <v>D</v>
      </c>
      <c r="I29" s="30" t="str">
        <f t="shared" si="13"/>
        <v>B</v>
      </c>
      <c r="J29" s="30" t="str">
        <f t="shared" si="13"/>
        <v>A</v>
      </c>
      <c r="K29" s="30" t="str">
        <f t="shared" si="13"/>
        <v>D</v>
      </c>
      <c r="L29" s="30" t="str">
        <f t="shared" si="13"/>
        <v>B</v>
      </c>
      <c r="M29" s="30" t="str">
        <f t="shared" si="13"/>
        <v>B</v>
      </c>
      <c r="N29" s="30" t="str">
        <f t="shared" si="13"/>
        <v>A</v>
      </c>
      <c r="O29" s="30" t="str">
        <f t="shared" si="13"/>
        <v>A</v>
      </c>
      <c r="P29" s="30" t="str">
        <f t="shared" si="13"/>
        <v>A</v>
      </c>
      <c r="Q29" s="30" t="str">
        <f t="shared" si="13"/>
        <v>A</v>
      </c>
      <c r="R29" s="30" t="str">
        <f t="shared" si="13"/>
        <v>A</v>
      </c>
      <c r="S29" s="59"/>
    </row>
    <row r="30" spans="1:19" s="5" customFormat="1" ht="13.5" customHeight="1" x14ac:dyDescent="0.25">
      <c r="A30" s="14">
        <v>14</v>
      </c>
      <c r="B30" s="16" t="s">
        <v>232</v>
      </c>
      <c r="C30" s="2"/>
      <c r="D30" s="22" t="s">
        <v>375</v>
      </c>
      <c r="E30" s="48">
        <v>82</v>
      </c>
      <c r="F30" s="48">
        <v>92</v>
      </c>
      <c r="G30" s="48">
        <v>94</v>
      </c>
      <c r="H30" s="48">
        <v>83</v>
      </c>
      <c r="I30" s="48">
        <v>84</v>
      </c>
      <c r="J30" s="48">
        <v>98</v>
      </c>
      <c r="K30" s="48">
        <v>92</v>
      </c>
      <c r="L30" s="48">
        <v>92</v>
      </c>
      <c r="M30" s="48">
        <v>84</v>
      </c>
      <c r="N30" s="48">
        <v>95</v>
      </c>
      <c r="O30" s="48">
        <v>98</v>
      </c>
      <c r="P30" s="22">
        <v>100</v>
      </c>
      <c r="Q30" s="22">
        <v>90</v>
      </c>
      <c r="R30" s="22">
        <v>98</v>
      </c>
      <c r="S30" s="59">
        <f t="shared" si="1"/>
        <v>91.571428571428569</v>
      </c>
    </row>
    <row r="31" spans="1:19" s="5" customFormat="1" ht="13.5" customHeight="1" x14ac:dyDescent="0.3">
      <c r="A31" s="14"/>
      <c r="B31" s="16"/>
      <c r="C31" s="2"/>
      <c r="D31" s="22"/>
      <c r="E31" s="30" t="str">
        <f t="shared" ref="E31:R31" si="14">IF(E30&gt;=90,"A",IF(E30&gt;=80,"B",IF(E30&gt;=70,"C",IF(E30&gt;=60,"D","F"))))</f>
        <v>B</v>
      </c>
      <c r="F31" s="30" t="str">
        <f t="shared" si="14"/>
        <v>A</v>
      </c>
      <c r="G31" s="30" t="str">
        <f t="shared" si="14"/>
        <v>A</v>
      </c>
      <c r="H31" s="30" t="str">
        <f t="shared" si="14"/>
        <v>B</v>
      </c>
      <c r="I31" s="30" t="str">
        <f t="shared" si="14"/>
        <v>B</v>
      </c>
      <c r="J31" s="30" t="str">
        <f t="shared" si="14"/>
        <v>A</v>
      </c>
      <c r="K31" s="30" t="str">
        <f t="shared" si="14"/>
        <v>A</v>
      </c>
      <c r="L31" s="30" t="str">
        <f t="shared" si="14"/>
        <v>A</v>
      </c>
      <c r="M31" s="30" t="str">
        <f t="shared" si="14"/>
        <v>B</v>
      </c>
      <c r="N31" s="30" t="str">
        <f t="shared" si="14"/>
        <v>A</v>
      </c>
      <c r="O31" s="30" t="str">
        <f t="shared" si="14"/>
        <v>A</v>
      </c>
      <c r="P31" s="30" t="str">
        <f t="shared" si="14"/>
        <v>A</v>
      </c>
      <c r="Q31" s="30" t="str">
        <f t="shared" si="14"/>
        <v>A</v>
      </c>
      <c r="R31" s="30" t="str">
        <f t="shared" si="14"/>
        <v>A</v>
      </c>
      <c r="S31" s="59"/>
    </row>
    <row r="32" spans="1:19" s="5" customFormat="1" ht="13.5" customHeight="1" x14ac:dyDescent="0.25">
      <c r="A32" s="14">
        <v>15</v>
      </c>
      <c r="B32" s="16" t="s">
        <v>233</v>
      </c>
      <c r="C32" s="2" t="s">
        <v>627</v>
      </c>
      <c r="D32" s="22" t="s">
        <v>375</v>
      </c>
      <c r="E32" s="48">
        <v>93</v>
      </c>
      <c r="F32" s="48">
        <v>85</v>
      </c>
      <c r="G32" s="48">
        <v>84</v>
      </c>
      <c r="H32" s="48">
        <v>82</v>
      </c>
      <c r="I32" s="48">
        <v>90</v>
      </c>
      <c r="J32" s="48">
        <v>95</v>
      </c>
      <c r="K32" s="48">
        <v>86</v>
      </c>
      <c r="L32" s="48">
        <v>88</v>
      </c>
      <c r="M32" s="48">
        <v>91</v>
      </c>
      <c r="N32" s="48">
        <v>98</v>
      </c>
      <c r="O32" s="48">
        <v>99</v>
      </c>
      <c r="P32" s="22">
        <v>92</v>
      </c>
      <c r="Q32" s="22">
        <v>100</v>
      </c>
      <c r="R32" s="22">
        <v>98</v>
      </c>
      <c r="S32" s="59">
        <f t="shared" si="1"/>
        <v>91.5</v>
      </c>
    </row>
    <row r="33" spans="1:19" s="5" customFormat="1" ht="13.5" customHeight="1" x14ac:dyDescent="0.3">
      <c r="A33" s="14"/>
      <c r="B33" s="16"/>
      <c r="C33" s="2"/>
      <c r="D33" s="22"/>
      <c r="E33" s="30" t="str">
        <f t="shared" ref="E33:R33" si="15">IF(E32&gt;=90,"A",IF(E32&gt;=80,"B",IF(E32&gt;=70,"C",IF(E32&gt;=60,"D","F"))))</f>
        <v>A</v>
      </c>
      <c r="F33" s="30" t="str">
        <f t="shared" si="15"/>
        <v>B</v>
      </c>
      <c r="G33" s="30" t="str">
        <f t="shared" si="15"/>
        <v>B</v>
      </c>
      <c r="H33" s="30" t="str">
        <f t="shared" si="15"/>
        <v>B</v>
      </c>
      <c r="I33" s="30" t="str">
        <f t="shared" si="15"/>
        <v>A</v>
      </c>
      <c r="J33" s="30" t="str">
        <f t="shared" si="15"/>
        <v>A</v>
      </c>
      <c r="K33" s="30" t="str">
        <f t="shared" si="15"/>
        <v>B</v>
      </c>
      <c r="L33" s="30" t="str">
        <f t="shared" si="15"/>
        <v>B</v>
      </c>
      <c r="M33" s="30" t="str">
        <f t="shared" si="15"/>
        <v>A</v>
      </c>
      <c r="N33" s="30" t="str">
        <f t="shared" si="15"/>
        <v>A</v>
      </c>
      <c r="O33" s="30" t="str">
        <f t="shared" si="15"/>
        <v>A</v>
      </c>
      <c r="P33" s="30" t="str">
        <f t="shared" si="15"/>
        <v>A</v>
      </c>
      <c r="Q33" s="30" t="str">
        <f t="shared" si="15"/>
        <v>A</v>
      </c>
      <c r="R33" s="30" t="str">
        <f t="shared" si="15"/>
        <v>A</v>
      </c>
      <c r="S33" s="59"/>
    </row>
    <row r="34" spans="1:19" s="5" customFormat="1" ht="13.5" customHeight="1" x14ac:dyDescent="0.25">
      <c r="A34" s="14">
        <v>16</v>
      </c>
      <c r="B34" s="16" t="s">
        <v>234</v>
      </c>
      <c r="C34" s="2" t="s">
        <v>628</v>
      </c>
      <c r="D34" s="22" t="s">
        <v>376</v>
      </c>
      <c r="E34" s="48">
        <v>92</v>
      </c>
      <c r="F34" s="48">
        <v>78</v>
      </c>
      <c r="G34" s="48">
        <v>86</v>
      </c>
      <c r="H34" s="48">
        <v>66</v>
      </c>
      <c r="I34" s="48">
        <v>91</v>
      </c>
      <c r="J34" s="48">
        <v>85</v>
      </c>
      <c r="K34" s="48">
        <v>66</v>
      </c>
      <c r="L34" s="48">
        <v>83</v>
      </c>
      <c r="M34" s="48">
        <v>96</v>
      </c>
      <c r="N34" s="48">
        <v>100</v>
      </c>
      <c r="O34" s="48">
        <v>97</v>
      </c>
      <c r="P34" s="22">
        <v>100</v>
      </c>
      <c r="Q34" s="22">
        <v>100</v>
      </c>
      <c r="R34" s="22">
        <v>100</v>
      </c>
      <c r="S34" s="59">
        <f t="shared" si="1"/>
        <v>88.571428571428569</v>
      </c>
    </row>
    <row r="35" spans="1:19" s="5" customFormat="1" ht="13.5" customHeight="1" x14ac:dyDescent="0.3">
      <c r="A35" s="14"/>
      <c r="B35" s="16"/>
      <c r="C35" s="2"/>
      <c r="D35" s="22"/>
      <c r="E35" s="30" t="str">
        <f t="shared" ref="E35:R35" si="16">IF(E34&gt;=90,"A",IF(E34&gt;=80,"B",IF(E34&gt;=70,"C",IF(E34&gt;=60,"D","F"))))</f>
        <v>A</v>
      </c>
      <c r="F35" s="30" t="str">
        <f t="shared" si="16"/>
        <v>C</v>
      </c>
      <c r="G35" s="30" t="str">
        <f t="shared" si="16"/>
        <v>B</v>
      </c>
      <c r="H35" s="30" t="str">
        <f t="shared" si="16"/>
        <v>D</v>
      </c>
      <c r="I35" s="30" t="str">
        <f t="shared" si="16"/>
        <v>A</v>
      </c>
      <c r="J35" s="30" t="str">
        <f t="shared" si="16"/>
        <v>B</v>
      </c>
      <c r="K35" s="30" t="str">
        <f t="shared" si="16"/>
        <v>D</v>
      </c>
      <c r="L35" s="30" t="str">
        <f t="shared" si="16"/>
        <v>B</v>
      </c>
      <c r="M35" s="30" t="str">
        <f t="shared" si="16"/>
        <v>A</v>
      </c>
      <c r="N35" s="30" t="str">
        <f t="shared" si="16"/>
        <v>A</v>
      </c>
      <c r="O35" s="30" t="str">
        <f t="shared" si="16"/>
        <v>A</v>
      </c>
      <c r="P35" s="30" t="str">
        <f t="shared" si="16"/>
        <v>A</v>
      </c>
      <c r="Q35" s="30" t="str">
        <f t="shared" si="16"/>
        <v>A</v>
      </c>
      <c r="R35" s="30" t="str">
        <f t="shared" si="16"/>
        <v>A</v>
      </c>
      <c r="S35" s="59"/>
    </row>
    <row r="36" spans="1:19" s="5" customFormat="1" ht="13.5" customHeight="1" x14ac:dyDescent="0.25">
      <c r="A36" s="14">
        <v>17</v>
      </c>
      <c r="B36" s="16" t="s">
        <v>235</v>
      </c>
      <c r="C36" s="2" t="s">
        <v>629</v>
      </c>
      <c r="D36" s="22" t="s">
        <v>375</v>
      </c>
      <c r="E36" s="48">
        <v>66</v>
      </c>
      <c r="F36" s="48">
        <v>75</v>
      </c>
      <c r="G36" s="48">
        <v>73</v>
      </c>
      <c r="H36" s="48">
        <v>70</v>
      </c>
      <c r="I36" s="48">
        <v>66</v>
      </c>
      <c r="J36" s="48">
        <v>91</v>
      </c>
      <c r="K36" s="48">
        <v>70</v>
      </c>
      <c r="L36" s="48">
        <v>80</v>
      </c>
      <c r="M36" s="48">
        <v>70</v>
      </c>
      <c r="N36" s="48">
        <v>93</v>
      </c>
      <c r="O36" s="48">
        <v>97</v>
      </c>
      <c r="P36" s="22">
        <v>98</v>
      </c>
      <c r="Q36" s="22">
        <v>95</v>
      </c>
      <c r="R36" s="22">
        <v>100</v>
      </c>
      <c r="S36" s="59">
        <f t="shared" si="1"/>
        <v>81.714285714285708</v>
      </c>
    </row>
    <row r="37" spans="1:19" s="5" customFormat="1" ht="13.5" customHeight="1" x14ac:dyDescent="0.3">
      <c r="A37" s="14"/>
      <c r="B37" s="16"/>
      <c r="C37" s="2"/>
      <c r="D37" s="22"/>
      <c r="E37" s="30" t="str">
        <f t="shared" ref="E37:R37" si="17">IF(E36&gt;=90,"A",IF(E36&gt;=80,"B",IF(E36&gt;=70,"C",IF(E36&gt;=60,"D","F"))))</f>
        <v>D</v>
      </c>
      <c r="F37" s="30" t="str">
        <f t="shared" si="17"/>
        <v>C</v>
      </c>
      <c r="G37" s="30" t="str">
        <f t="shared" si="17"/>
        <v>C</v>
      </c>
      <c r="H37" s="30" t="str">
        <f t="shared" si="17"/>
        <v>C</v>
      </c>
      <c r="I37" s="30" t="str">
        <f t="shared" si="17"/>
        <v>D</v>
      </c>
      <c r="J37" s="30" t="str">
        <f t="shared" si="17"/>
        <v>A</v>
      </c>
      <c r="K37" s="30" t="str">
        <f t="shared" si="17"/>
        <v>C</v>
      </c>
      <c r="L37" s="30" t="str">
        <f t="shared" si="17"/>
        <v>B</v>
      </c>
      <c r="M37" s="30" t="str">
        <f t="shared" si="17"/>
        <v>C</v>
      </c>
      <c r="N37" s="30" t="str">
        <f t="shared" si="17"/>
        <v>A</v>
      </c>
      <c r="O37" s="30" t="str">
        <f t="shared" si="17"/>
        <v>A</v>
      </c>
      <c r="P37" s="30" t="str">
        <f t="shared" si="17"/>
        <v>A</v>
      </c>
      <c r="Q37" s="30" t="str">
        <f t="shared" si="17"/>
        <v>A</v>
      </c>
      <c r="R37" s="30" t="str">
        <f t="shared" si="17"/>
        <v>A</v>
      </c>
      <c r="S37" s="59"/>
    </row>
    <row r="38" spans="1:19" s="5" customFormat="1" ht="13.5" customHeight="1" x14ac:dyDescent="0.25">
      <c r="A38" s="14">
        <v>18</v>
      </c>
      <c r="B38" s="16" t="s">
        <v>57</v>
      </c>
      <c r="C38" s="2" t="s">
        <v>630</v>
      </c>
      <c r="D38" s="22" t="s">
        <v>376</v>
      </c>
      <c r="E38" s="48">
        <v>95</v>
      </c>
      <c r="F38" s="48">
        <v>97</v>
      </c>
      <c r="G38" s="48">
        <v>96</v>
      </c>
      <c r="H38" s="48">
        <v>77</v>
      </c>
      <c r="I38" s="48">
        <v>79</v>
      </c>
      <c r="J38" s="48">
        <v>88</v>
      </c>
      <c r="K38" s="48">
        <v>76</v>
      </c>
      <c r="L38" s="48">
        <v>83</v>
      </c>
      <c r="M38" s="48">
        <v>94</v>
      </c>
      <c r="N38" s="48">
        <v>95</v>
      </c>
      <c r="O38" s="48">
        <v>99</v>
      </c>
      <c r="P38" s="22">
        <v>91</v>
      </c>
      <c r="Q38" s="22">
        <v>100</v>
      </c>
      <c r="R38" s="22">
        <v>93</v>
      </c>
      <c r="S38" s="59">
        <f t="shared" si="1"/>
        <v>90.214285714285708</v>
      </c>
    </row>
    <row r="39" spans="1:19" s="5" customFormat="1" ht="13.5" customHeight="1" x14ac:dyDescent="0.3">
      <c r="A39" s="14"/>
      <c r="B39" s="16"/>
      <c r="C39" s="2"/>
      <c r="D39" s="22"/>
      <c r="E39" s="30" t="str">
        <f t="shared" ref="E39:R39" si="18">IF(E38&gt;=90,"A",IF(E38&gt;=80,"B",IF(E38&gt;=70,"C",IF(E38&gt;=60,"D","F"))))</f>
        <v>A</v>
      </c>
      <c r="F39" s="30" t="str">
        <f t="shared" si="18"/>
        <v>A</v>
      </c>
      <c r="G39" s="30" t="str">
        <f t="shared" si="18"/>
        <v>A</v>
      </c>
      <c r="H39" s="30" t="str">
        <f t="shared" si="18"/>
        <v>C</v>
      </c>
      <c r="I39" s="30" t="str">
        <f t="shared" si="18"/>
        <v>C</v>
      </c>
      <c r="J39" s="30" t="str">
        <f t="shared" si="18"/>
        <v>B</v>
      </c>
      <c r="K39" s="30" t="str">
        <f t="shared" si="18"/>
        <v>C</v>
      </c>
      <c r="L39" s="30" t="str">
        <f t="shared" si="18"/>
        <v>B</v>
      </c>
      <c r="M39" s="30" t="str">
        <f t="shared" si="18"/>
        <v>A</v>
      </c>
      <c r="N39" s="30" t="str">
        <f t="shared" si="18"/>
        <v>A</v>
      </c>
      <c r="O39" s="30" t="str">
        <f t="shared" si="18"/>
        <v>A</v>
      </c>
      <c r="P39" s="30" t="str">
        <f t="shared" si="18"/>
        <v>A</v>
      </c>
      <c r="Q39" s="30" t="str">
        <f t="shared" si="18"/>
        <v>A</v>
      </c>
      <c r="R39" s="30" t="str">
        <f t="shared" si="18"/>
        <v>A</v>
      </c>
      <c r="S39" s="59"/>
    </row>
    <row r="40" spans="1:19" s="5" customFormat="1" ht="13.5" customHeight="1" x14ac:dyDescent="0.25">
      <c r="A40" s="14">
        <v>19</v>
      </c>
      <c r="B40" s="16" t="s">
        <v>236</v>
      </c>
      <c r="C40" s="2" t="s">
        <v>631</v>
      </c>
      <c r="D40" s="22" t="s">
        <v>375</v>
      </c>
      <c r="E40" s="48">
        <v>91</v>
      </c>
      <c r="F40" s="48">
        <v>100</v>
      </c>
      <c r="G40" s="48">
        <v>98</v>
      </c>
      <c r="H40" s="48">
        <v>85</v>
      </c>
      <c r="I40" s="48">
        <v>88</v>
      </c>
      <c r="J40" s="48">
        <v>99</v>
      </c>
      <c r="K40" s="48">
        <v>89</v>
      </c>
      <c r="L40" s="48">
        <v>94</v>
      </c>
      <c r="M40" s="48">
        <v>95</v>
      </c>
      <c r="N40" s="48">
        <v>98</v>
      </c>
      <c r="O40" s="48">
        <v>100</v>
      </c>
      <c r="P40" s="22">
        <v>100</v>
      </c>
      <c r="Q40" s="22">
        <v>95</v>
      </c>
      <c r="R40" s="22">
        <v>100</v>
      </c>
      <c r="S40" s="59">
        <f t="shared" si="1"/>
        <v>95.142857142857139</v>
      </c>
    </row>
    <row r="41" spans="1:19" ht="15.75" x14ac:dyDescent="0.3">
      <c r="A41" s="25"/>
      <c r="B41" s="20"/>
      <c r="C41" s="16"/>
      <c r="D41" s="6"/>
      <c r="E41" s="30" t="str">
        <f t="shared" ref="E41:R41" si="19">IF(E40&gt;=90,"A",IF(E40&gt;=80,"B",IF(E40&gt;=70,"C",IF(E40&gt;=60,"D","F"))))</f>
        <v>A</v>
      </c>
      <c r="F41" s="30" t="str">
        <f t="shared" si="19"/>
        <v>A</v>
      </c>
      <c r="G41" s="30" t="str">
        <f t="shared" si="19"/>
        <v>A</v>
      </c>
      <c r="H41" s="30" t="str">
        <f t="shared" si="19"/>
        <v>B</v>
      </c>
      <c r="I41" s="30" t="str">
        <f t="shared" si="19"/>
        <v>B</v>
      </c>
      <c r="J41" s="30" t="str">
        <f t="shared" si="19"/>
        <v>A</v>
      </c>
      <c r="K41" s="30" t="str">
        <f t="shared" si="19"/>
        <v>B</v>
      </c>
      <c r="L41" s="30" t="str">
        <f t="shared" si="19"/>
        <v>A</v>
      </c>
      <c r="M41" s="30" t="str">
        <f t="shared" si="19"/>
        <v>A</v>
      </c>
      <c r="N41" s="30" t="str">
        <f t="shared" si="19"/>
        <v>A</v>
      </c>
      <c r="O41" s="30" t="str">
        <f t="shared" si="19"/>
        <v>A</v>
      </c>
      <c r="P41" s="30" t="str">
        <f t="shared" si="19"/>
        <v>A</v>
      </c>
      <c r="Q41" s="30" t="str">
        <f t="shared" si="19"/>
        <v>A</v>
      </c>
      <c r="R41" s="30" t="str">
        <f t="shared" si="19"/>
        <v>A</v>
      </c>
      <c r="S41" s="3"/>
    </row>
    <row r="42" spans="1:19" x14ac:dyDescent="0.25">
      <c r="C42" s="16"/>
    </row>
    <row r="43" spans="1:19" x14ac:dyDescent="0.25">
      <c r="C43" s="20"/>
    </row>
  </sheetData>
  <sheetProtection formatCells="0" formatColumns="0" formatRows="0" insertColumns="0" insertRows="0" insertHyperlinks="0" deleteColumns="0" deleteRows="0" sort="0" autoFilter="0" pivotTables="0"/>
  <autoFilter ref="A1:D40" xr:uid="{00000000-0009-0000-0000-000010000000}">
    <filterColumn colId="0" showButton="0"/>
  </autoFilter>
  <mergeCells count="1">
    <mergeCell ref="A1:B2"/>
  </mergeCells>
  <pageMargins left="0.23" right="0.17" top="0.38" bottom="0" header="0.17" footer="0.3"/>
  <pageSetup paperSize="9" orientation="landscape" r:id="rId1"/>
  <headerFooter>
    <oddFooter xml:space="preserve">&amp;C
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36"/>
  <sheetViews>
    <sheetView zoomScaleNormal="100" workbookViewId="0">
      <selection activeCell="K1" sqref="K1"/>
    </sheetView>
  </sheetViews>
  <sheetFormatPr defaultRowHeight="15" x14ac:dyDescent="0.25"/>
  <cols>
    <col min="1" max="1" width="4" style="13" customWidth="1"/>
    <col min="2" max="3" width="18.7109375" style="28" customWidth="1"/>
    <col min="4" max="4" width="4.140625" style="7" customWidth="1"/>
    <col min="5" max="5" width="7.5703125" style="46" customWidth="1"/>
    <col min="6" max="6" width="8.42578125" style="46" customWidth="1"/>
    <col min="7" max="7" width="8.28515625" style="46" customWidth="1"/>
    <col min="8" max="8" width="8.5703125" style="46" customWidth="1"/>
    <col min="9" max="9" width="9" style="46" customWidth="1"/>
    <col min="10" max="10" width="10.140625" style="46" customWidth="1"/>
    <col min="11" max="11" width="8.28515625" style="46" customWidth="1"/>
    <col min="12" max="12" width="6.85546875" style="46" customWidth="1"/>
    <col min="13" max="13" width="7.85546875" style="46" customWidth="1"/>
    <col min="14" max="14" width="7.140625" style="46" customWidth="1"/>
    <col min="15" max="15" width="6.5703125" style="46" customWidth="1"/>
    <col min="16" max="16" width="6.28515625" style="13" customWidth="1"/>
    <col min="17" max="17" width="6.5703125" style="13" customWidth="1"/>
    <col min="18" max="18" width="6.85546875" style="13" customWidth="1"/>
    <col min="19" max="19" width="8" style="2" customWidth="1"/>
    <col min="20" max="16384" width="9.140625" style="2"/>
  </cols>
  <sheetData>
    <row r="1" spans="1:19" ht="6" customHeight="1" x14ac:dyDescent="0.25">
      <c r="A1" s="85" t="s">
        <v>649</v>
      </c>
      <c r="B1" s="86"/>
      <c r="C1" s="80"/>
    </row>
    <row r="2" spans="1:19" ht="10.5" customHeight="1" x14ac:dyDescent="0.25">
      <c r="A2" s="87"/>
      <c r="B2" s="88"/>
      <c r="C2" s="80"/>
    </row>
    <row r="3" spans="1:19" s="44" customFormat="1" ht="25.5" customHeight="1" x14ac:dyDescent="0.25">
      <c r="A3" s="40" t="s">
        <v>452</v>
      </c>
      <c r="B3" s="41" t="s">
        <v>1</v>
      </c>
      <c r="C3" s="41"/>
      <c r="D3" s="42" t="s">
        <v>2</v>
      </c>
      <c r="E3" s="43" t="s">
        <v>426</v>
      </c>
      <c r="F3" s="43" t="s">
        <v>427</v>
      </c>
      <c r="G3" s="43" t="s">
        <v>830</v>
      </c>
      <c r="H3" s="43" t="s">
        <v>435</v>
      </c>
      <c r="I3" s="43" t="s">
        <v>453</v>
      </c>
      <c r="J3" s="43" t="s">
        <v>436</v>
      </c>
      <c r="K3" s="43" t="s">
        <v>827</v>
      </c>
      <c r="L3" s="43" t="s">
        <v>437</v>
      </c>
      <c r="M3" s="43" t="s">
        <v>431</v>
      </c>
      <c r="N3" s="43" t="s">
        <v>432</v>
      </c>
      <c r="O3" s="43" t="s">
        <v>445</v>
      </c>
      <c r="P3" s="47" t="s">
        <v>424</v>
      </c>
      <c r="Q3" s="47" t="s">
        <v>425</v>
      </c>
      <c r="R3" s="47" t="s">
        <v>438</v>
      </c>
      <c r="S3" s="45" t="s">
        <v>428</v>
      </c>
    </row>
    <row r="4" spans="1:19" s="5" customFormat="1" ht="13.5" customHeight="1" x14ac:dyDescent="0.25">
      <c r="A4" s="14">
        <v>1</v>
      </c>
      <c r="B4" s="16" t="s">
        <v>237</v>
      </c>
      <c r="C4" s="2" t="s">
        <v>635</v>
      </c>
      <c r="D4" s="4" t="s">
        <v>375</v>
      </c>
      <c r="E4" s="48">
        <v>86</v>
      </c>
      <c r="F4" s="48">
        <v>95</v>
      </c>
      <c r="G4" s="48">
        <v>97</v>
      </c>
      <c r="H4" s="48">
        <v>90</v>
      </c>
      <c r="I4" s="48">
        <v>81</v>
      </c>
      <c r="J4" s="48">
        <v>97</v>
      </c>
      <c r="K4" s="48">
        <v>92</v>
      </c>
      <c r="L4" s="48">
        <v>94</v>
      </c>
      <c r="M4" s="48">
        <v>91</v>
      </c>
      <c r="N4" s="48">
        <v>98</v>
      </c>
      <c r="O4" s="48">
        <v>99</v>
      </c>
      <c r="P4" s="22">
        <v>92</v>
      </c>
      <c r="Q4" s="22">
        <v>95</v>
      </c>
      <c r="R4" s="22">
        <v>91</v>
      </c>
      <c r="S4" s="58">
        <f>AVERAGE(E4:R4)</f>
        <v>92.714285714285708</v>
      </c>
    </row>
    <row r="5" spans="1:19" s="5" customFormat="1" ht="13.5" customHeight="1" x14ac:dyDescent="0.3">
      <c r="A5" s="14"/>
      <c r="B5" s="16"/>
      <c r="D5" s="4"/>
      <c r="E5" s="30" t="str">
        <f t="shared" ref="E5:R5" si="0">IF(E4&gt;=90,"A",IF(E4&gt;=80,"B",IF(E4&gt;=70,"C",IF(E4&gt;=60,"D","F"))))</f>
        <v>B</v>
      </c>
      <c r="F5" s="30" t="str">
        <f t="shared" si="0"/>
        <v>A</v>
      </c>
      <c r="G5" s="30" t="str">
        <f t="shared" si="0"/>
        <v>A</v>
      </c>
      <c r="H5" s="30" t="str">
        <f t="shared" si="0"/>
        <v>A</v>
      </c>
      <c r="I5" s="30" t="str">
        <f t="shared" si="0"/>
        <v>B</v>
      </c>
      <c r="J5" s="30" t="str">
        <f t="shared" si="0"/>
        <v>A</v>
      </c>
      <c r="K5" s="30" t="str">
        <f t="shared" si="0"/>
        <v>A</v>
      </c>
      <c r="L5" s="30" t="str">
        <f t="shared" si="0"/>
        <v>A</v>
      </c>
      <c r="M5" s="30" t="str">
        <f t="shared" si="0"/>
        <v>A</v>
      </c>
      <c r="N5" s="30" t="str">
        <f t="shared" si="0"/>
        <v>A</v>
      </c>
      <c r="O5" s="30" t="str">
        <f t="shared" si="0"/>
        <v>A</v>
      </c>
      <c r="P5" s="30" t="str">
        <f t="shared" si="0"/>
        <v>A</v>
      </c>
      <c r="Q5" s="30" t="str">
        <f t="shared" si="0"/>
        <v>A</v>
      </c>
      <c r="R5" s="30" t="str">
        <f t="shared" si="0"/>
        <v>A</v>
      </c>
      <c r="S5" s="58"/>
    </row>
    <row r="6" spans="1:19" s="5" customFormat="1" ht="13.5" customHeight="1" x14ac:dyDescent="0.25">
      <c r="A6" s="14">
        <v>2</v>
      </c>
      <c r="B6" s="16" t="s">
        <v>238</v>
      </c>
      <c r="C6" s="2" t="s">
        <v>633</v>
      </c>
      <c r="D6" s="4" t="s">
        <v>375</v>
      </c>
      <c r="E6" s="48">
        <v>83.7</v>
      </c>
      <c r="F6" s="48">
        <v>79</v>
      </c>
      <c r="G6" s="48">
        <v>86</v>
      </c>
      <c r="H6" s="48">
        <v>83</v>
      </c>
      <c r="I6" s="48">
        <v>83</v>
      </c>
      <c r="J6" s="48">
        <v>84</v>
      </c>
      <c r="K6" s="48">
        <v>74</v>
      </c>
      <c r="L6" s="48">
        <v>85</v>
      </c>
      <c r="M6" s="48">
        <v>80</v>
      </c>
      <c r="N6" s="48">
        <v>98</v>
      </c>
      <c r="O6" s="48">
        <v>98</v>
      </c>
      <c r="P6" s="22">
        <v>96</v>
      </c>
      <c r="Q6" s="22">
        <v>95</v>
      </c>
      <c r="R6" s="22">
        <v>100</v>
      </c>
      <c r="S6" s="58">
        <f t="shared" ref="S6:S34" si="1">AVERAGE(E6:R6)</f>
        <v>87.478571428571428</v>
      </c>
    </row>
    <row r="7" spans="1:19" s="5" customFormat="1" ht="13.5" customHeight="1" x14ac:dyDescent="0.3">
      <c r="A7" s="14"/>
      <c r="B7" s="16"/>
      <c r="C7" s="2"/>
      <c r="D7" s="4"/>
      <c r="E7" s="30" t="str">
        <f t="shared" ref="E7:R7" si="2">IF(E6&gt;=90,"A",IF(E6&gt;=80,"B",IF(E6&gt;=70,"C",IF(E6&gt;=60,"D","F"))))</f>
        <v>B</v>
      </c>
      <c r="F7" s="30" t="str">
        <f t="shared" si="2"/>
        <v>C</v>
      </c>
      <c r="G7" s="30" t="str">
        <f t="shared" si="2"/>
        <v>B</v>
      </c>
      <c r="H7" s="30" t="str">
        <f t="shared" si="2"/>
        <v>B</v>
      </c>
      <c r="I7" s="30" t="str">
        <f t="shared" si="2"/>
        <v>B</v>
      </c>
      <c r="J7" s="30" t="str">
        <f t="shared" si="2"/>
        <v>B</v>
      </c>
      <c r="K7" s="30" t="str">
        <f t="shared" si="2"/>
        <v>C</v>
      </c>
      <c r="L7" s="30" t="str">
        <f t="shared" si="2"/>
        <v>B</v>
      </c>
      <c r="M7" s="30" t="str">
        <f t="shared" si="2"/>
        <v>B</v>
      </c>
      <c r="N7" s="30" t="str">
        <f t="shared" si="2"/>
        <v>A</v>
      </c>
      <c r="O7" s="30" t="str">
        <f t="shared" si="2"/>
        <v>A</v>
      </c>
      <c r="P7" s="30" t="str">
        <f t="shared" si="2"/>
        <v>A</v>
      </c>
      <c r="Q7" s="30" t="str">
        <f t="shared" si="2"/>
        <v>A</v>
      </c>
      <c r="R7" s="30" t="str">
        <f t="shared" si="2"/>
        <v>A</v>
      </c>
      <c r="S7" s="58"/>
    </row>
    <row r="8" spans="1:19" s="5" customFormat="1" ht="13.5" customHeight="1" x14ac:dyDescent="0.25">
      <c r="A8" s="14">
        <v>3</v>
      </c>
      <c r="B8" s="16" t="s">
        <v>27</v>
      </c>
      <c r="C8" s="2" t="s">
        <v>634</v>
      </c>
      <c r="D8" s="4" t="s">
        <v>376</v>
      </c>
      <c r="E8" s="48">
        <v>93.6</v>
      </c>
      <c r="F8" s="48">
        <v>96</v>
      </c>
      <c r="G8" s="48">
        <v>98</v>
      </c>
      <c r="H8" s="48">
        <v>83</v>
      </c>
      <c r="I8" s="48">
        <v>86</v>
      </c>
      <c r="J8" s="48">
        <v>94</v>
      </c>
      <c r="K8" s="48">
        <v>79</v>
      </c>
      <c r="L8" s="48">
        <v>96</v>
      </c>
      <c r="M8" s="48">
        <v>92</v>
      </c>
      <c r="N8" s="48">
        <v>97</v>
      </c>
      <c r="O8" s="48">
        <v>98</v>
      </c>
      <c r="P8" s="22">
        <v>99</v>
      </c>
      <c r="Q8" s="22">
        <v>95</v>
      </c>
      <c r="R8" s="22">
        <v>96</v>
      </c>
      <c r="S8" s="58">
        <f t="shared" si="1"/>
        <v>93.04285714285713</v>
      </c>
    </row>
    <row r="9" spans="1:19" s="5" customFormat="1" ht="13.5" customHeight="1" x14ac:dyDescent="0.3">
      <c r="A9" s="14"/>
      <c r="B9" s="16"/>
      <c r="C9" s="2"/>
      <c r="D9" s="4"/>
      <c r="E9" s="30" t="str">
        <f t="shared" ref="E9:R9" si="3">IF(E8&gt;=90,"A",IF(E8&gt;=80,"B",IF(E8&gt;=70,"C",IF(E8&gt;=60,"D","F"))))</f>
        <v>A</v>
      </c>
      <c r="F9" s="30" t="str">
        <f t="shared" si="3"/>
        <v>A</v>
      </c>
      <c r="G9" s="30" t="str">
        <f t="shared" si="3"/>
        <v>A</v>
      </c>
      <c r="H9" s="30" t="str">
        <f t="shared" si="3"/>
        <v>B</v>
      </c>
      <c r="I9" s="30" t="str">
        <f t="shared" si="3"/>
        <v>B</v>
      </c>
      <c r="J9" s="30" t="str">
        <f t="shared" si="3"/>
        <v>A</v>
      </c>
      <c r="K9" s="30" t="str">
        <f t="shared" si="3"/>
        <v>C</v>
      </c>
      <c r="L9" s="30" t="str">
        <f t="shared" si="3"/>
        <v>A</v>
      </c>
      <c r="M9" s="30" t="str">
        <f t="shared" si="3"/>
        <v>A</v>
      </c>
      <c r="N9" s="30" t="str">
        <f t="shared" si="3"/>
        <v>A</v>
      </c>
      <c r="O9" s="30" t="str">
        <f t="shared" si="3"/>
        <v>A</v>
      </c>
      <c r="P9" s="30" t="str">
        <f t="shared" si="3"/>
        <v>A</v>
      </c>
      <c r="Q9" s="30" t="str">
        <f t="shared" si="3"/>
        <v>A</v>
      </c>
      <c r="R9" s="30" t="str">
        <f t="shared" si="3"/>
        <v>A</v>
      </c>
      <c r="S9" s="58"/>
    </row>
    <row r="10" spans="1:19" s="5" customFormat="1" ht="13.5" customHeight="1" x14ac:dyDescent="0.25">
      <c r="A10" s="14">
        <v>4</v>
      </c>
      <c r="B10" s="16" t="s">
        <v>239</v>
      </c>
      <c r="C10" s="2" t="s">
        <v>636</v>
      </c>
      <c r="D10" s="4" t="s">
        <v>376</v>
      </c>
      <c r="E10" s="48">
        <v>93.7</v>
      </c>
      <c r="F10" s="48">
        <v>92</v>
      </c>
      <c r="G10" s="48">
        <v>91</v>
      </c>
      <c r="H10" s="48">
        <v>79</v>
      </c>
      <c r="I10" s="48">
        <v>89</v>
      </c>
      <c r="J10" s="48">
        <v>93</v>
      </c>
      <c r="K10" s="48">
        <v>84</v>
      </c>
      <c r="L10" s="48">
        <v>91</v>
      </c>
      <c r="M10" s="48">
        <v>92</v>
      </c>
      <c r="N10" s="48">
        <v>100</v>
      </c>
      <c r="O10" s="48">
        <v>98</v>
      </c>
      <c r="P10" s="22">
        <v>91</v>
      </c>
      <c r="Q10" s="22">
        <v>95</v>
      </c>
      <c r="R10" s="22">
        <v>100</v>
      </c>
      <c r="S10" s="58">
        <f t="shared" si="1"/>
        <v>92.05</v>
      </c>
    </row>
    <row r="11" spans="1:19" s="5" customFormat="1" ht="13.5" customHeight="1" x14ac:dyDescent="0.3">
      <c r="A11" s="14"/>
      <c r="B11" s="16"/>
      <c r="C11" s="2"/>
      <c r="D11" s="4"/>
      <c r="E11" s="30" t="str">
        <f t="shared" ref="E11:R11" si="4">IF(E10&gt;=90,"A",IF(E10&gt;=80,"B",IF(E10&gt;=70,"C",IF(E10&gt;=60,"D","F"))))</f>
        <v>A</v>
      </c>
      <c r="F11" s="30" t="str">
        <f t="shared" si="4"/>
        <v>A</v>
      </c>
      <c r="G11" s="30" t="str">
        <f t="shared" si="4"/>
        <v>A</v>
      </c>
      <c r="H11" s="30" t="str">
        <f t="shared" si="4"/>
        <v>C</v>
      </c>
      <c r="I11" s="30" t="str">
        <f t="shared" si="4"/>
        <v>B</v>
      </c>
      <c r="J11" s="30" t="str">
        <f t="shared" si="4"/>
        <v>A</v>
      </c>
      <c r="K11" s="30" t="str">
        <f t="shared" si="4"/>
        <v>B</v>
      </c>
      <c r="L11" s="30" t="str">
        <f t="shared" si="4"/>
        <v>A</v>
      </c>
      <c r="M11" s="30" t="str">
        <f t="shared" si="4"/>
        <v>A</v>
      </c>
      <c r="N11" s="30" t="str">
        <f t="shared" si="4"/>
        <v>A</v>
      </c>
      <c r="O11" s="30" t="str">
        <f t="shared" si="4"/>
        <v>A</v>
      </c>
      <c r="P11" s="30" t="str">
        <f t="shared" si="4"/>
        <v>A</v>
      </c>
      <c r="Q11" s="30" t="str">
        <f t="shared" si="4"/>
        <v>A</v>
      </c>
      <c r="R11" s="30" t="str">
        <f t="shared" si="4"/>
        <v>A</v>
      </c>
      <c r="S11" s="58"/>
    </row>
    <row r="12" spans="1:19" s="5" customFormat="1" ht="13.5" customHeight="1" x14ac:dyDescent="0.25">
      <c r="A12" s="14">
        <v>5</v>
      </c>
      <c r="B12" s="16" t="s">
        <v>24</v>
      </c>
      <c r="C12" s="2" t="s">
        <v>637</v>
      </c>
      <c r="D12" s="4" t="s">
        <v>376</v>
      </c>
      <c r="E12" s="48">
        <v>81</v>
      </c>
      <c r="F12" s="48">
        <v>90</v>
      </c>
      <c r="G12" s="48">
        <v>88</v>
      </c>
      <c r="H12" s="48">
        <v>71</v>
      </c>
      <c r="I12" s="48">
        <v>81</v>
      </c>
      <c r="J12" s="48">
        <v>93</v>
      </c>
      <c r="K12" s="48">
        <v>86</v>
      </c>
      <c r="L12" s="48">
        <v>92</v>
      </c>
      <c r="M12" s="48">
        <v>81</v>
      </c>
      <c r="N12" s="48">
        <v>98</v>
      </c>
      <c r="O12" s="48">
        <v>99</v>
      </c>
      <c r="P12" s="22">
        <v>92</v>
      </c>
      <c r="Q12" s="22">
        <v>95</v>
      </c>
      <c r="R12" s="22">
        <v>96</v>
      </c>
      <c r="S12" s="58">
        <f t="shared" si="1"/>
        <v>88.785714285714292</v>
      </c>
    </row>
    <row r="13" spans="1:19" s="5" customFormat="1" ht="13.5" customHeight="1" x14ac:dyDescent="0.3">
      <c r="A13" s="14"/>
      <c r="B13" s="16"/>
      <c r="C13" s="2"/>
      <c r="D13" s="4"/>
      <c r="E13" s="30" t="str">
        <f t="shared" ref="E13:R13" si="5">IF(E12&gt;=90,"A",IF(E12&gt;=80,"B",IF(E12&gt;=70,"C",IF(E12&gt;=60,"D","F"))))</f>
        <v>B</v>
      </c>
      <c r="F13" s="30" t="str">
        <f t="shared" si="5"/>
        <v>A</v>
      </c>
      <c r="G13" s="30" t="str">
        <f t="shared" si="5"/>
        <v>B</v>
      </c>
      <c r="H13" s="30" t="str">
        <f t="shared" si="5"/>
        <v>C</v>
      </c>
      <c r="I13" s="30" t="str">
        <f t="shared" si="5"/>
        <v>B</v>
      </c>
      <c r="J13" s="30" t="str">
        <f t="shared" si="5"/>
        <v>A</v>
      </c>
      <c r="K13" s="30" t="str">
        <f t="shared" si="5"/>
        <v>B</v>
      </c>
      <c r="L13" s="30" t="str">
        <f t="shared" si="5"/>
        <v>A</v>
      </c>
      <c r="M13" s="30" t="str">
        <f t="shared" si="5"/>
        <v>B</v>
      </c>
      <c r="N13" s="30" t="str">
        <f t="shared" si="5"/>
        <v>A</v>
      </c>
      <c r="O13" s="30" t="str">
        <f t="shared" si="5"/>
        <v>A</v>
      </c>
      <c r="P13" s="30" t="str">
        <f t="shared" si="5"/>
        <v>A</v>
      </c>
      <c r="Q13" s="30" t="str">
        <f t="shared" si="5"/>
        <v>A</v>
      </c>
      <c r="R13" s="30" t="str">
        <f t="shared" si="5"/>
        <v>A</v>
      </c>
      <c r="S13" s="58"/>
    </row>
    <row r="14" spans="1:19" s="5" customFormat="1" ht="13.5" customHeight="1" x14ac:dyDescent="0.25">
      <c r="A14" s="14">
        <v>6</v>
      </c>
      <c r="B14" s="16" t="s">
        <v>240</v>
      </c>
      <c r="C14" s="2" t="s">
        <v>638</v>
      </c>
      <c r="D14" s="4" t="s">
        <v>375</v>
      </c>
      <c r="E14" s="48">
        <v>95.5</v>
      </c>
      <c r="F14" s="48">
        <v>97</v>
      </c>
      <c r="G14" s="48">
        <v>92</v>
      </c>
      <c r="H14" s="48">
        <v>83</v>
      </c>
      <c r="I14" s="48">
        <v>97</v>
      </c>
      <c r="J14" s="48">
        <v>96</v>
      </c>
      <c r="K14" s="48">
        <v>93</v>
      </c>
      <c r="L14" s="48">
        <v>97</v>
      </c>
      <c r="M14" s="48">
        <v>94</v>
      </c>
      <c r="N14" s="48">
        <v>98</v>
      </c>
      <c r="O14" s="48">
        <v>96</v>
      </c>
      <c r="P14" s="22">
        <v>91</v>
      </c>
      <c r="Q14" s="22">
        <v>97</v>
      </c>
      <c r="R14" s="22">
        <v>100</v>
      </c>
      <c r="S14" s="58">
        <f t="shared" si="1"/>
        <v>94.75</v>
      </c>
    </row>
    <row r="15" spans="1:19" s="5" customFormat="1" ht="13.5" customHeight="1" x14ac:dyDescent="0.3">
      <c r="A15" s="14"/>
      <c r="B15" s="16"/>
      <c r="C15" s="2"/>
      <c r="D15" s="4"/>
      <c r="E15" s="30" t="str">
        <f t="shared" ref="E15:R15" si="6">IF(E14&gt;=90,"A",IF(E14&gt;=80,"B",IF(E14&gt;=70,"C",IF(E14&gt;=60,"D","F"))))</f>
        <v>A</v>
      </c>
      <c r="F15" s="30" t="str">
        <f t="shared" si="6"/>
        <v>A</v>
      </c>
      <c r="G15" s="30" t="str">
        <f t="shared" si="6"/>
        <v>A</v>
      </c>
      <c r="H15" s="30" t="str">
        <f t="shared" si="6"/>
        <v>B</v>
      </c>
      <c r="I15" s="30" t="str">
        <f t="shared" si="6"/>
        <v>A</v>
      </c>
      <c r="J15" s="30" t="str">
        <f t="shared" si="6"/>
        <v>A</v>
      </c>
      <c r="K15" s="30" t="str">
        <f t="shared" si="6"/>
        <v>A</v>
      </c>
      <c r="L15" s="30" t="str">
        <f t="shared" si="6"/>
        <v>A</v>
      </c>
      <c r="M15" s="30" t="str">
        <f t="shared" si="6"/>
        <v>A</v>
      </c>
      <c r="N15" s="30" t="str">
        <f t="shared" si="6"/>
        <v>A</v>
      </c>
      <c r="O15" s="30" t="str">
        <f t="shared" si="6"/>
        <v>A</v>
      </c>
      <c r="P15" s="30" t="str">
        <f t="shared" si="6"/>
        <v>A</v>
      </c>
      <c r="Q15" s="30" t="str">
        <f t="shared" si="6"/>
        <v>A</v>
      </c>
      <c r="R15" s="30" t="str">
        <f t="shared" si="6"/>
        <v>A</v>
      </c>
      <c r="S15" s="58"/>
    </row>
    <row r="16" spans="1:19" s="5" customFormat="1" ht="13.5" customHeight="1" x14ac:dyDescent="0.25">
      <c r="A16" s="14">
        <v>7</v>
      </c>
      <c r="B16" s="16" t="s">
        <v>241</v>
      </c>
      <c r="C16" s="2" t="s">
        <v>639</v>
      </c>
      <c r="D16" s="4" t="s">
        <v>375</v>
      </c>
      <c r="E16" s="48">
        <v>93.9</v>
      </c>
      <c r="F16" s="48">
        <v>99</v>
      </c>
      <c r="G16" s="48">
        <v>100</v>
      </c>
      <c r="H16" s="48">
        <v>90</v>
      </c>
      <c r="I16" s="48">
        <v>98</v>
      </c>
      <c r="J16" s="48">
        <v>97</v>
      </c>
      <c r="K16" s="48">
        <v>95</v>
      </c>
      <c r="L16" s="48">
        <v>95</v>
      </c>
      <c r="M16" s="48">
        <v>98</v>
      </c>
      <c r="N16" s="48">
        <v>100</v>
      </c>
      <c r="O16" s="48">
        <v>98</v>
      </c>
      <c r="P16" s="22">
        <v>96</v>
      </c>
      <c r="Q16" s="22">
        <v>100</v>
      </c>
      <c r="R16" s="22">
        <v>100</v>
      </c>
      <c r="S16" s="58">
        <f t="shared" si="1"/>
        <v>97.135714285714286</v>
      </c>
    </row>
    <row r="17" spans="1:19" s="5" customFormat="1" ht="13.5" customHeight="1" x14ac:dyDescent="0.3">
      <c r="A17" s="14"/>
      <c r="B17" s="16"/>
      <c r="C17" s="2"/>
      <c r="D17" s="4"/>
      <c r="E17" s="30" t="str">
        <f t="shared" ref="E17:R17" si="7">IF(E16&gt;=90,"A",IF(E16&gt;=80,"B",IF(E16&gt;=70,"C",IF(E16&gt;=60,"D","F"))))</f>
        <v>A</v>
      </c>
      <c r="F17" s="30" t="str">
        <f t="shared" si="7"/>
        <v>A</v>
      </c>
      <c r="G17" s="30" t="str">
        <f t="shared" si="7"/>
        <v>A</v>
      </c>
      <c r="H17" s="30" t="str">
        <f t="shared" si="7"/>
        <v>A</v>
      </c>
      <c r="I17" s="30" t="str">
        <f t="shared" si="7"/>
        <v>A</v>
      </c>
      <c r="J17" s="30" t="str">
        <f t="shared" si="7"/>
        <v>A</v>
      </c>
      <c r="K17" s="30" t="str">
        <f t="shared" si="7"/>
        <v>A</v>
      </c>
      <c r="L17" s="30" t="str">
        <f t="shared" si="7"/>
        <v>A</v>
      </c>
      <c r="M17" s="30" t="str">
        <f t="shared" si="7"/>
        <v>A</v>
      </c>
      <c r="N17" s="30" t="str">
        <f t="shared" si="7"/>
        <v>A</v>
      </c>
      <c r="O17" s="30" t="str">
        <f t="shared" si="7"/>
        <v>A</v>
      </c>
      <c r="P17" s="30" t="str">
        <f t="shared" si="7"/>
        <v>A</v>
      </c>
      <c r="Q17" s="30" t="str">
        <f t="shared" si="7"/>
        <v>A</v>
      </c>
      <c r="R17" s="30" t="str">
        <f t="shared" si="7"/>
        <v>A</v>
      </c>
      <c r="S17" s="58"/>
    </row>
    <row r="18" spans="1:19" s="5" customFormat="1" ht="13.5" customHeight="1" x14ac:dyDescent="0.25">
      <c r="A18" s="14">
        <v>8</v>
      </c>
      <c r="B18" s="16" t="s">
        <v>25</v>
      </c>
      <c r="C18" s="2" t="s">
        <v>640</v>
      </c>
      <c r="D18" s="4" t="s">
        <v>375</v>
      </c>
      <c r="E18" s="48">
        <v>77.599999999999994</v>
      </c>
      <c r="F18" s="48">
        <v>94</v>
      </c>
      <c r="G18" s="48">
        <v>88</v>
      </c>
      <c r="H18" s="48">
        <v>74</v>
      </c>
      <c r="I18" s="48">
        <v>79</v>
      </c>
      <c r="J18" s="48">
        <v>94</v>
      </c>
      <c r="K18" s="48">
        <v>88</v>
      </c>
      <c r="L18" s="48">
        <v>94</v>
      </c>
      <c r="M18" s="48">
        <v>84</v>
      </c>
      <c r="N18" s="48">
        <v>91.5</v>
      </c>
      <c r="O18" s="48">
        <v>98</v>
      </c>
      <c r="P18" s="22">
        <v>85</v>
      </c>
      <c r="Q18" s="22">
        <v>95</v>
      </c>
      <c r="R18" s="22">
        <v>93</v>
      </c>
      <c r="S18" s="58">
        <f t="shared" si="1"/>
        <v>88.221428571428561</v>
      </c>
    </row>
    <row r="19" spans="1:19" s="5" customFormat="1" ht="13.5" customHeight="1" x14ac:dyDescent="0.3">
      <c r="A19" s="14"/>
      <c r="B19" s="16"/>
      <c r="C19" s="2"/>
      <c r="D19" s="4"/>
      <c r="E19" s="30" t="str">
        <f t="shared" ref="E19:R19" si="8">IF(E18&gt;=90,"A",IF(E18&gt;=80,"B",IF(E18&gt;=70,"C",IF(E18&gt;=60,"D","F"))))</f>
        <v>C</v>
      </c>
      <c r="F19" s="30" t="str">
        <f t="shared" si="8"/>
        <v>A</v>
      </c>
      <c r="G19" s="30" t="str">
        <f t="shared" si="8"/>
        <v>B</v>
      </c>
      <c r="H19" s="30" t="str">
        <f t="shared" si="8"/>
        <v>C</v>
      </c>
      <c r="I19" s="30" t="str">
        <f t="shared" si="8"/>
        <v>C</v>
      </c>
      <c r="J19" s="30" t="str">
        <f t="shared" si="8"/>
        <v>A</v>
      </c>
      <c r="K19" s="30" t="str">
        <f t="shared" si="8"/>
        <v>B</v>
      </c>
      <c r="L19" s="30" t="str">
        <f t="shared" si="8"/>
        <v>A</v>
      </c>
      <c r="M19" s="30" t="str">
        <f t="shared" si="8"/>
        <v>B</v>
      </c>
      <c r="N19" s="30" t="str">
        <f t="shared" si="8"/>
        <v>A</v>
      </c>
      <c r="O19" s="30" t="str">
        <f t="shared" si="8"/>
        <v>A</v>
      </c>
      <c r="P19" s="30" t="str">
        <f t="shared" si="8"/>
        <v>B</v>
      </c>
      <c r="Q19" s="30" t="str">
        <f t="shared" si="8"/>
        <v>A</v>
      </c>
      <c r="R19" s="30" t="str">
        <f t="shared" si="8"/>
        <v>A</v>
      </c>
      <c r="S19" s="58"/>
    </row>
    <row r="20" spans="1:19" s="5" customFormat="1" ht="13.5" customHeight="1" x14ac:dyDescent="0.25">
      <c r="A20" s="14">
        <v>9</v>
      </c>
      <c r="B20" s="16" t="s">
        <v>242</v>
      </c>
      <c r="C20" s="2" t="s">
        <v>641</v>
      </c>
      <c r="D20" s="4" t="s">
        <v>376</v>
      </c>
      <c r="E20" s="48">
        <v>83.6</v>
      </c>
      <c r="F20" s="48">
        <v>90</v>
      </c>
      <c r="G20" s="48">
        <v>84</v>
      </c>
      <c r="H20" s="48">
        <v>81</v>
      </c>
      <c r="I20" s="48">
        <v>79</v>
      </c>
      <c r="J20" s="48">
        <v>89</v>
      </c>
      <c r="K20" s="48">
        <v>80</v>
      </c>
      <c r="L20" s="48">
        <v>94</v>
      </c>
      <c r="M20" s="48">
        <v>82</v>
      </c>
      <c r="N20" s="48">
        <v>97</v>
      </c>
      <c r="O20" s="48">
        <v>100</v>
      </c>
      <c r="P20" s="22">
        <v>99</v>
      </c>
      <c r="Q20" s="22">
        <v>100</v>
      </c>
      <c r="R20" s="22">
        <v>100</v>
      </c>
      <c r="S20" s="58">
        <f t="shared" si="1"/>
        <v>89.899999999999991</v>
      </c>
    </row>
    <row r="21" spans="1:19" s="5" customFormat="1" ht="13.5" customHeight="1" x14ac:dyDescent="0.3">
      <c r="A21" s="14"/>
      <c r="B21" s="16"/>
      <c r="C21" s="2"/>
      <c r="D21" s="4"/>
      <c r="E21" s="30" t="str">
        <f t="shared" ref="E21:R21" si="9">IF(E20&gt;=90,"A",IF(E20&gt;=80,"B",IF(E20&gt;=70,"C",IF(E20&gt;=60,"D","F"))))</f>
        <v>B</v>
      </c>
      <c r="F21" s="30" t="str">
        <f t="shared" si="9"/>
        <v>A</v>
      </c>
      <c r="G21" s="30" t="str">
        <f t="shared" si="9"/>
        <v>B</v>
      </c>
      <c r="H21" s="30" t="str">
        <f t="shared" si="9"/>
        <v>B</v>
      </c>
      <c r="I21" s="30" t="str">
        <f t="shared" si="9"/>
        <v>C</v>
      </c>
      <c r="J21" s="30" t="str">
        <f t="shared" si="9"/>
        <v>B</v>
      </c>
      <c r="K21" s="30" t="str">
        <f t="shared" si="9"/>
        <v>B</v>
      </c>
      <c r="L21" s="30" t="str">
        <f t="shared" si="9"/>
        <v>A</v>
      </c>
      <c r="M21" s="30" t="str">
        <f t="shared" si="9"/>
        <v>B</v>
      </c>
      <c r="N21" s="30" t="str">
        <f t="shared" si="9"/>
        <v>A</v>
      </c>
      <c r="O21" s="30" t="str">
        <f t="shared" si="9"/>
        <v>A</v>
      </c>
      <c r="P21" s="30" t="str">
        <f t="shared" si="9"/>
        <v>A</v>
      </c>
      <c r="Q21" s="30" t="str">
        <f t="shared" si="9"/>
        <v>A</v>
      </c>
      <c r="R21" s="30" t="str">
        <f t="shared" si="9"/>
        <v>A</v>
      </c>
      <c r="S21" s="58"/>
    </row>
    <row r="22" spans="1:19" s="5" customFormat="1" ht="13.5" customHeight="1" x14ac:dyDescent="0.25">
      <c r="A22" s="14">
        <v>10</v>
      </c>
      <c r="B22" s="16" t="s">
        <v>243</v>
      </c>
      <c r="C22" s="2" t="s">
        <v>642</v>
      </c>
      <c r="D22" s="4" t="s">
        <v>376</v>
      </c>
      <c r="E22" s="22">
        <v>84.5</v>
      </c>
      <c r="F22" s="22">
        <v>92</v>
      </c>
      <c r="G22" s="48">
        <v>87</v>
      </c>
      <c r="H22" s="48">
        <v>70</v>
      </c>
      <c r="I22" s="48">
        <v>74</v>
      </c>
      <c r="J22" s="48">
        <v>89</v>
      </c>
      <c r="K22" s="48">
        <v>77</v>
      </c>
      <c r="L22" s="48">
        <v>98</v>
      </c>
      <c r="M22" s="48">
        <v>82</v>
      </c>
      <c r="N22" s="48">
        <v>97</v>
      </c>
      <c r="O22" s="48">
        <v>100</v>
      </c>
      <c r="P22" s="22">
        <v>93</v>
      </c>
      <c r="Q22" s="22">
        <v>95</v>
      </c>
      <c r="R22" s="22">
        <v>100</v>
      </c>
      <c r="S22" s="58">
        <f t="shared" si="1"/>
        <v>88.464285714285708</v>
      </c>
    </row>
    <row r="23" spans="1:19" s="5" customFormat="1" ht="13.5" customHeight="1" x14ac:dyDescent="0.3">
      <c r="A23" s="14"/>
      <c r="B23" s="16"/>
      <c r="C23" s="2"/>
      <c r="D23" s="4"/>
      <c r="E23" s="30" t="str">
        <f t="shared" ref="E23:R23" si="10">IF(E22&gt;=90,"A",IF(E22&gt;=80,"B",IF(E22&gt;=70,"C",IF(E22&gt;=60,"D","F"))))</f>
        <v>B</v>
      </c>
      <c r="F23" s="30" t="str">
        <f t="shared" si="10"/>
        <v>A</v>
      </c>
      <c r="G23" s="30" t="str">
        <f t="shared" si="10"/>
        <v>B</v>
      </c>
      <c r="H23" s="30" t="str">
        <f t="shared" si="10"/>
        <v>C</v>
      </c>
      <c r="I23" s="30" t="str">
        <f t="shared" si="10"/>
        <v>C</v>
      </c>
      <c r="J23" s="30" t="str">
        <f t="shared" si="10"/>
        <v>B</v>
      </c>
      <c r="K23" s="30" t="str">
        <f t="shared" si="10"/>
        <v>C</v>
      </c>
      <c r="L23" s="30" t="str">
        <f t="shared" si="10"/>
        <v>A</v>
      </c>
      <c r="M23" s="30" t="str">
        <f t="shared" si="10"/>
        <v>B</v>
      </c>
      <c r="N23" s="30" t="str">
        <f t="shared" si="10"/>
        <v>A</v>
      </c>
      <c r="O23" s="30" t="str">
        <f t="shared" si="10"/>
        <v>A</v>
      </c>
      <c r="P23" s="30" t="str">
        <f t="shared" si="10"/>
        <v>A</v>
      </c>
      <c r="Q23" s="30" t="str">
        <f t="shared" si="10"/>
        <v>A</v>
      </c>
      <c r="R23" s="30" t="str">
        <f t="shared" si="10"/>
        <v>A</v>
      </c>
      <c r="S23" s="58"/>
    </row>
    <row r="24" spans="1:19" s="5" customFormat="1" ht="13.5" customHeight="1" x14ac:dyDescent="0.25">
      <c r="A24" s="14">
        <v>11</v>
      </c>
      <c r="B24" s="16" t="s">
        <v>244</v>
      </c>
      <c r="C24" s="2" t="s">
        <v>643</v>
      </c>
      <c r="D24" s="4" t="s">
        <v>375</v>
      </c>
      <c r="E24" s="48">
        <v>90.8</v>
      </c>
      <c r="F24" s="62">
        <v>0</v>
      </c>
      <c r="G24" s="48">
        <v>96</v>
      </c>
      <c r="H24" s="62">
        <v>0</v>
      </c>
      <c r="I24" s="48">
        <v>86</v>
      </c>
      <c r="J24" s="62">
        <v>0</v>
      </c>
      <c r="K24" s="62">
        <v>0</v>
      </c>
      <c r="L24" s="62">
        <v>0</v>
      </c>
      <c r="M24" s="48">
        <v>80</v>
      </c>
      <c r="N24" s="48">
        <v>97</v>
      </c>
      <c r="O24" s="48">
        <v>97</v>
      </c>
      <c r="P24" s="22">
        <v>93</v>
      </c>
      <c r="Q24" s="22">
        <v>95</v>
      </c>
      <c r="R24" s="22">
        <v>97</v>
      </c>
      <c r="S24" s="58">
        <f t="shared" si="1"/>
        <v>59.414285714285711</v>
      </c>
    </row>
    <row r="25" spans="1:19" s="5" customFormat="1" ht="13.5" customHeight="1" x14ac:dyDescent="0.3">
      <c r="A25" s="14"/>
      <c r="B25" s="16"/>
      <c r="C25" s="2"/>
      <c r="D25" s="4"/>
      <c r="E25" s="30" t="str">
        <f>IF(E24&gt;=90,"A",IF(E24&gt;=80,"B",IF(E24&gt;=70,"C",IF(E24&gt;=60,"D","F"))))</f>
        <v>A</v>
      </c>
      <c r="F25" s="30"/>
      <c r="G25" s="30" t="str">
        <f>IF(G24&gt;=90,"A",IF(G24&gt;=80,"B",IF(G24&gt;=70,"C",IF(G24&gt;=60,"D","F"))))</f>
        <v>A</v>
      </c>
      <c r="H25" s="30"/>
      <c r="I25" s="30" t="str">
        <f>IF(I24&gt;=90,"A",IF(I24&gt;=80,"B",IF(I24&gt;=70,"C",IF(I24&gt;=60,"D","F"))))</f>
        <v>B</v>
      </c>
      <c r="J25" s="30"/>
      <c r="K25" s="30"/>
      <c r="L25" s="30"/>
      <c r="M25" s="30" t="str">
        <f t="shared" ref="M25:R25" si="11">IF(M24&gt;=90,"A",IF(M24&gt;=80,"B",IF(M24&gt;=70,"C",IF(M24&gt;=60,"D","F"))))</f>
        <v>B</v>
      </c>
      <c r="N25" s="30" t="str">
        <f t="shared" si="11"/>
        <v>A</v>
      </c>
      <c r="O25" s="30" t="str">
        <f t="shared" si="11"/>
        <v>A</v>
      </c>
      <c r="P25" s="30" t="str">
        <f t="shared" si="11"/>
        <v>A</v>
      </c>
      <c r="Q25" s="30" t="str">
        <f t="shared" si="11"/>
        <v>A</v>
      </c>
      <c r="R25" s="30" t="str">
        <f t="shared" si="11"/>
        <v>A</v>
      </c>
      <c r="S25" s="58"/>
    </row>
    <row r="26" spans="1:19" s="5" customFormat="1" ht="13.5" customHeight="1" x14ac:dyDescent="0.25">
      <c r="A26" s="14">
        <v>12</v>
      </c>
      <c r="B26" s="16" t="s">
        <v>245</v>
      </c>
      <c r="C26" s="2" t="s">
        <v>644</v>
      </c>
      <c r="D26" s="4" t="s">
        <v>375</v>
      </c>
      <c r="E26" s="48">
        <v>86</v>
      </c>
      <c r="F26" s="48">
        <v>91</v>
      </c>
      <c r="G26" s="48">
        <v>97</v>
      </c>
      <c r="H26" s="48">
        <v>85</v>
      </c>
      <c r="I26" s="48">
        <v>84</v>
      </c>
      <c r="J26" s="48">
        <v>91</v>
      </c>
      <c r="K26" s="48">
        <v>92</v>
      </c>
      <c r="L26" s="48">
        <v>92</v>
      </c>
      <c r="M26" s="48">
        <v>93</v>
      </c>
      <c r="N26" s="48">
        <v>100</v>
      </c>
      <c r="O26" s="48">
        <v>95</v>
      </c>
      <c r="P26" s="22">
        <v>97</v>
      </c>
      <c r="Q26" s="22">
        <v>100</v>
      </c>
      <c r="R26" s="22">
        <v>100</v>
      </c>
      <c r="S26" s="58">
        <f t="shared" si="1"/>
        <v>93.071428571428569</v>
      </c>
    </row>
    <row r="27" spans="1:19" s="5" customFormat="1" ht="13.5" customHeight="1" x14ac:dyDescent="0.3">
      <c r="A27" s="14"/>
      <c r="B27" s="16"/>
      <c r="D27" s="4"/>
      <c r="E27" s="30" t="str">
        <f t="shared" ref="E27:R27" si="12">IF(E26&gt;=90,"A",IF(E26&gt;=80,"B",IF(E26&gt;=70,"C",IF(E26&gt;=60,"D","F"))))</f>
        <v>B</v>
      </c>
      <c r="F27" s="30" t="str">
        <f t="shared" si="12"/>
        <v>A</v>
      </c>
      <c r="G27" s="30" t="str">
        <f t="shared" si="12"/>
        <v>A</v>
      </c>
      <c r="H27" s="30" t="str">
        <f t="shared" si="12"/>
        <v>B</v>
      </c>
      <c r="I27" s="30" t="str">
        <f t="shared" si="12"/>
        <v>B</v>
      </c>
      <c r="J27" s="30" t="str">
        <f t="shared" si="12"/>
        <v>A</v>
      </c>
      <c r="K27" s="30" t="str">
        <f t="shared" si="12"/>
        <v>A</v>
      </c>
      <c r="L27" s="30" t="str">
        <f t="shared" si="12"/>
        <v>A</v>
      </c>
      <c r="M27" s="30" t="str">
        <f t="shared" si="12"/>
        <v>A</v>
      </c>
      <c r="N27" s="30" t="str">
        <f t="shared" si="12"/>
        <v>A</v>
      </c>
      <c r="O27" s="30" t="str">
        <f t="shared" si="12"/>
        <v>A</v>
      </c>
      <c r="P27" s="30" t="str">
        <f t="shared" si="12"/>
        <v>A</v>
      </c>
      <c r="Q27" s="30" t="str">
        <f t="shared" si="12"/>
        <v>A</v>
      </c>
      <c r="R27" s="30" t="str">
        <f t="shared" si="12"/>
        <v>A</v>
      </c>
      <c r="S27" s="58"/>
    </row>
    <row r="28" spans="1:19" s="5" customFormat="1" ht="13.5" customHeight="1" x14ac:dyDescent="0.25">
      <c r="A28" s="14">
        <v>13</v>
      </c>
      <c r="B28" s="16" t="s">
        <v>246</v>
      </c>
      <c r="C28" s="2" t="s">
        <v>645</v>
      </c>
      <c r="D28" s="4" t="s">
        <v>376</v>
      </c>
      <c r="E28" s="48">
        <v>90.5</v>
      </c>
      <c r="F28" s="48">
        <v>82</v>
      </c>
      <c r="G28" s="48">
        <v>82</v>
      </c>
      <c r="H28" s="48">
        <v>80</v>
      </c>
      <c r="I28" s="48">
        <v>72</v>
      </c>
      <c r="J28" s="48">
        <v>80</v>
      </c>
      <c r="K28" s="48">
        <v>72</v>
      </c>
      <c r="L28" s="48">
        <v>75</v>
      </c>
      <c r="M28" s="48">
        <v>87</v>
      </c>
      <c r="N28" s="48">
        <v>100</v>
      </c>
      <c r="O28" s="48">
        <v>99</v>
      </c>
      <c r="P28" s="22">
        <v>100</v>
      </c>
      <c r="Q28" s="22">
        <v>95</v>
      </c>
      <c r="R28" s="22">
        <v>100</v>
      </c>
      <c r="S28" s="58">
        <f t="shared" si="1"/>
        <v>86.75</v>
      </c>
    </row>
    <row r="29" spans="1:19" s="5" customFormat="1" ht="13.5" customHeight="1" x14ac:dyDescent="0.3">
      <c r="A29" s="14"/>
      <c r="B29" s="16"/>
      <c r="C29" s="84"/>
      <c r="D29" s="4"/>
      <c r="E29" s="30" t="str">
        <f t="shared" ref="E29:R29" si="13">IF(E28&gt;=90,"A",IF(E28&gt;=80,"B",IF(E28&gt;=70,"C",IF(E28&gt;=60,"D","F"))))</f>
        <v>A</v>
      </c>
      <c r="F29" s="30" t="str">
        <f t="shared" si="13"/>
        <v>B</v>
      </c>
      <c r="G29" s="30" t="str">
        <f t="shared" si="13"/>
        <v>B</v>
      </c>
      <c r="H29" s="30" t="str">
        <f t="shared" si="13"/>
        <v>B</v>
      </c>
      <c r="I29" s="30" t="str">
        <f t="shared" si="13"/>
        <v>C</v>
      </c>
      <c r="J29" s="30" t="str">
        <f t="shared" si="13"/>
        <v>B</v>
      </c>
      <c r="K29" s="30" t="str">
        <f t="shared" si="13"/>
        <v>C</v>
      </c>
      <c r="L29" s="30" t="str">
        <f t="shared" si="13"/>
        <v>C</v>
      </c>
      <c r="M29" s="30" t="str">
        <f t="shared" si="13"/>
        <v>B</v>
      </c>
      <c r="N29" s="30" t="str">
        <f t="shared" si="13"/>
        <v>A</v>
      </c>
      <c r="O29" s="30" t="str">
        <f t="shared" si="13"/>
        <v>A</v>
      </c>
      <c r="P29" s="30" t="str">
        <f t="shared" si="13"/>
        <v>A</v>
      </c>
      <c r="Q29" s="30" t="str">
        <f t="shared" si="13"/>
        <v>A</v>
      </c>
      <c r="R29" s="30" t="str">
        <f t="shared" si="13"/>
        <v>A</v>
      </c>
      <c r="S29" s="58"/>
    </row>
    <row r="30" spans="1:19" s="5" customFormat="1" ht="13.5" customHeight="1" x14ac:dyDescent="0.25">
      <c r="A30" s="14">
        <v>14</v>
      </c>
      <c r="B30" s="16" t="s">
        <v>247</v>
      </c>
      <c r="C30" s="2" t="s">
        <v>646</v>
      </c>
      <c r="D30" s="4" t="s">
        <v>376</v>
      </c>
      <c r="E30" s="48">
        <v>87</v>
      </c>
      <c r="F30" s="48">
        <v>80</v>
      </c>
      <c r="G30" s="48">
        <v>87</v>
      </c>
      <c r="H30" s="48">
        <v>71</v>
      </c>
      <c r="I30" s="48">
        <v>86</v>
      </c>
      <c r="J30" s="48">
        <v>69</v>
      </c>
      <c r="K30" s="48">
        <v>74</v>
      </c>
      <c r="L30" s="48">
        <v>75</v>
      </c>
      <c r="M30" s="48">
        <v>93</v>
      </c>
      <c r="N30" s="48">
        <v>93</v>
      </c>
      <c r="O30" s="48">
        <v>99</v>
      </c>
      <c r="P30" s="22">
        <v>96</v>
      </c>
      <c r="Q30" s="22">
        <v>90</v>
      </c>
      <c r="R30" s="22">
        <v>96</v>
      </c>
      <c r="S30" s="58">
        <f t="shared" si="1"/>
        <v>85.428571428571431</v>
      </c>
    </row>
    <row r="31" spans="1:19" s="5" customFormat="1" ht="13.5" customHeight="1" x14ac:dyDescent="0.3">
      <c r="A31" s="14"/>
      <c r="B31" s="16"/>
      <c r="C31" s="2"/>
      <c r="D31" s="4"/>
      <c r="E31" s="30" t="str">
        <f t="shared" ref="E31:R31" si="14">IF(E30&gt;=90,"A",IF(E30&gt;=80,"B",IF(E30&gt;=70,"C",IF(E30&gt;=60,"D","F"))))</f>
        <v>B</v>
      </c>
      <c r="F31" s="30" t="str">
        <f t="shared" si="14"/>
        <v>B</v>
      </c>
      <c r="G31" s="30" t="str">
        <f t="shared" si="14"/>
        <v>B</v>
      </c>
      <c r="H31" s="30" t="str">
        <f t="shared" si="14"/>
        <v>C</v>
      </c>
      <c r="I31" s="30" t="str">
        <f t="shared" si="14"/>
        <v>B</v>
      </c>
      <c r="J31" s="30" t="str">
        <f t="shared" si="14"/>
        <v>D</v>
      </c>
      <c r="K31" s="30" t="str">
        <f t="shared" si="14"/>
        <v>C</v>
      </c>
      <c r="L31" s="30" t="str">
        <f t="shared" si="14"/>
        <v>C</v>
      </c>
      <c r="M31" s="30" t="str">
        <f t="shared" si="14"/>
        <v>A</v>
      </c>
      <c r="N31" s="30" t="str">
        <f t="shared" si="14"/>
        <v>A</v>
      </c>
      <c r="O31" s="30" t="str">
        <f t="shared" si="14"/>
        <v>A</v>
      </c>
      <c r="P31" s="30" t="str">
        <f t="shared" si="14"/>
        <v>A</v>
      </c>
      <c r="Q31" s="30" t="str">
        <f t="shared" si="14"/>
        <v>A</v>
      </c>
      <c r="R31" s="30" t="str">
        <f t="shared" si="14"/>
        <v>A</v>
      </c>
      <c r="S31" s="58"/>
    </row>
    <row r="32" spans="1:19" s="5" customFormat="1" ht="13.5" customHeight="1" x14ac:dyDescent="0.25">
      <c r="A32" s="14">
        <v>15</v>
      </c>
      <c r="B32" s="16" t="s">
        <v>248</v>
      </c>
      <c r="C32" s="2" t="s">
        <v>647</v>
      </c>
      <c r="D32" s="4" t="s">
        <v>375</v>
      </c>
      <c r="E32" s="48">
        <v>82</v>
      </c>
      <c r="F32" s="48">
        <v>90</v>
      </c>
      <c r="G32" s="48">
        <v>81</v>
      </c>
      <c r="H32" s="48">
        <v>80</v>
      </c>
      <c r="I32" s="48">
        <v>85</v>
      </c>
      <c r="J32" s="48">
        <v>90</v>
      </c>
      <c r="K32" s="48">
        <v>86</v>
      </c>
      <c r="L32" s="48">
        <v>92</v>
      </c>
      <c r="M32" s="48">
        <v>82</v>
      </c>
      <c r="N32" s="48">
        <v>98</v>
      </c>
      <c r="O32" s="48">
        <v>95</v>
      </c>
      <c r="P32" s="22">
        <v>100</v>
      </c>
      <c r="Q32" s="22">
        <v>90</v>
      </c>
      <c r="R32" s="22">
        <v>100</v>
      </c>
      <c r="S32" s="58">
        <f t="shared" si="1"/>
        <v>89.357142857142861</v>
      </c>
    </row>
    <row r="33" spans="1:19" s="5" customFormat="1" ht="13.5" customHeight="1" x14ac:dyDescent="0.3">
      <c r="A33" s="14"/>
      <c r="B33" s="16"/>
      <c r="C33" s="2"/>
      <c r="D33" s="4"/>
      <c r="E33" s="30" t="str">
        <f t="shared" ref="E33:R33" si="15">IF(E32&gt;=90,"A",IF(E32&gt;=80,"B",IF(E32&gt;=70,"C",IF(E32&gt;=60,"D","F"))))</f>
        <v>B</v>
      </c>
      <c r="F33" s="30" t="str">
        <f t="shared" si="15"/>
        <v>A</v>
      </c>
      <c r="G33" s="30" t="str">
        <f t="shared" si="15"/>
        <v>B</v>
      </c>
      <c r="H33" s="30" t="str">
        <f t="shared" si="15"/>
        <v>B</v>
      </c>
      <c r="I33" s="30" t="str">
        <f t="shared" si="15"/>
        <v>B</v>
      </c>
      <c r="J33" s="30" t="str">
        <f t="shared" si="15"/>
        <v>A</v>
      </c>
      <c r="K33" s="30" t="str">
        <f t="shared" si="15"/>
        <v>B</v>
      </c>
      <c r="L33" s="30" t="str">
        <f t="shared" si="15"/>
        <v>A</v>
      </c>
      <c r="M33" s="30" t="str">
        <f t="shared" si="15"/>
        <v>B</v>
      </c>
      <c r="N33" s="30" t="str">
        <f t="shared" si="15"/>
        <v>A</v>
      </c>
      <c r="O33" s="30" t="str">
        <f t="shared" si="15"/>
        <v>A</v>
      </c>
      <c r="P33" s="30" t="str">
        <f t="shared" si="15"/>
        <v>A</v>
      </c>
      <c r="Q33" s="30" t="str">
        <f t="shared" si="15"/>
        <v>A</v>
      </c>
      <c r="R33" s="30" t="str">
        <f t="shared" si="15"/>
        <v>A</v>
      </c>
      <c r="S33" s="58"/>
    </row>
    <row r="34" spans="1:19" s="5" customFormat="1" ht="13.5" customHeight="1" x14ac:dyDescent="0.25">
      <c r="A34" s="14">
        <v>16</v>
      </c>
      <c r="B34" s="16" t="s">
        <v>26</v>
      </c>
      <c r="C34" s="2" t="s">
        <v>648</v>
      </c>
      <c r="D34" s="4" t="s">
        <v>376</v>
      </c>
      <c r="E34" s="48">
        <v>79</v>
      </c>
      <c r="F34" s="48">
        <v>93</v>
      </c>
      <c r="G34" s="48">
        <v>75</v>
      </c>
      <c r="H34" s="48">
        <v>76</v>
      </c>
      <c r="I34" s="48">
        <v>81</v>
      </c>
      <c r="J34" s="48">
        <v>91</v>
      </c>
      <c r="K34" s="48">
        <v>81</v>
      </c>
      <c r="L34" s="48">
        <v>94</v>
      </c>
      <c r="M34" s="48">
        <v>80</v>
      </c>
      <c r="N34" s="48">
        <v>95</v>
      </c>
      <c r="O34" s="48">
        <v>96</v>
      </c>
      <c r="P34" s="22">
        <v>100</v>
      </c>
      <c r="Q34" s="22">
        <v>95</v>
      </c>
      <c r="R34" s="22">
        <v>100</v>
      </c>
      <c r="S34" s="58">
        <f t="shared" si="1"/>
        <v>88.285714285714292</v>
      </c>
    </row>
    <row r="35" spans="1:19" ht="15.75" x14ac:dyDescent="0.3">
      <c r="A35" s="25"/>
      <c r="B35" s="20"/>
      <c r="C35" s="2"/>
      <c r="D35" s="6"/>
      <c r="E35" s="30" t="str">
        <f t="shared" ref="E35:R35" si="16">IF(E34&gt;=90,"A",IF(E34&gt;=80,"B",IF(E34&gt;=70,"C",IF(E34&gt;=60,"D","F"))))</f>
        <v>C</v>
      </c>
      <c r="F35" s="30" t="str">
        <f t="shared" si="16"/>
        <v>A</v>
      </c>
      <c r="G35" s="30" t="str">
        <f t="shared" si="16"/>
        <v>C</v>
      </c>
      <c r="H35" s="30" t="str">
        <f t="shared" si="16"/>
        <v>C</v>
      </c>
      <c r="I35" s="30" t="str">
        <f t="shared" si="16"/>
        <v>B</v>
      </c>
      <c r="J35" s="30" t="str">
        <f t="shared" si="16"/>
        <v>A</v>
      </c>
      <c r="K35" s="30" t="str">
        <f t="shared" si="16"/>
        <v>B</v>
      </c>
      <c r="L35" s="30" t="str">
        <f t="shared" si="16"/>
        <v>A</v>
      </c>
      <c r="M35" s="30" t="str">
        <f t="shared" si="16"/>
        <v>B</v>
      </c>
      <c r="N35" s="30" t="str">
        <f t="shared" si="16"/>
        <v>A</v>
      </c>
      <c r="O35" s="30" t="str">
        <f t="shared" si="16"/>
        <v>A</v>
      </c>
      <c r="P35" s="30" t="str">
        <f t="shared" si="16"/>
        <v>A</v>
      </c>
      <c r="Q35" s="30" t="str">
        <f t="shared" si="16"/>
        <v>A</v>
      </c>
      <c r="R35" s="30" t="str">
        <f t="shared" si="16"/>
        <v>A</v>
      </c>
      <c r="S35" s="3"/>
    </row>
    <row r="36" spans="1:19" x14ac:dyDescent="0.25">
      <c r="C36" s="2"/>
    </row>
  </sheetData>
  <sheetProtection formatCells="0" formatColumns="0" formatRows="0" insertColumns="0" insertRows="0" insertHyperlinks="0" deleteColumns="0" deleteRows="0" sort="0" autoFilter="0" pivotTables="0"/>
  <autoFilter ref="A1:D34" xr:uid="{00000000-0009-0000-0000-000012000000}">
    <filterColumn colId="0" showButton="0"/>
  </autoFilter>
  <mergeCells count="1">
    <mergeCell ref="A1:B2"/>
  </mergeCells>
  <pageMargins left="0.23" right="0.17" top="0.83" bottom="0" header="0.17" footer="0.3"/>
  <pageSetup paperSize="9" orientation="landscape" r:id="rId1"/>
  <headerFooter>
    <oddFooter xml:space="preserve">&amp;C
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45"/>
  <sheetViews>
    <sheetView zoomScale="90" zoomScaleNormal="90" workbookViewId="0">
      <selection activeCell="M1" sqref="M1"/>
    </sheetView>
  </sheetViews>
  <sheetFormatPr defaultRowHeight="15" x14ac:dyDescent="0.25"/>
  <cols>
    <col min="1" max="1" width="4.5703125" style="13" customWidth="1"/>
    <col min="2" max="2" width="19.42578125" style="28" customWidth="1"/>
    <col min="3" max="3" width="11.85546875" style="28" bestFit="1" customWidth="1"/>
    <col min="4" max="4" width="8.28515625" style="7" customWidth="1"/>
    <col min="5" max="5" width="14.140625" style="46" customWidth="1"/>
    <col min="6" max="6" width="13.42578125" style="46" customWidth="1"/>
    <col min="7" max="7" width="14.28515625" style="46" customWidth="1"/>
    <col min="8" max="8" width="16" style="46" customWidth="1"/>
    <col min="9" max="9" width="15.28515625" style="46" customWidth="1"/>
    <col min="10" max="10" width="16.5703125" style="46" customWidth="1"/>
    <col min="11" max="11" width="13.7109375" style="46" customWidth="1"/>
    <col min="12" max="12" width="7.7109375" style="46" customWidth="1"/>
    <col min="13" max="13" width="12.140625" style="46" customWidth="1"/>
    <col min="14" max="14" width="12.85546875" style="46" customWidth="1"/>
    <col min="15" max="15" width="11.7109375" style="46" customWidth="1"/>
    <col min="16" max="16" width="9.42578125" style="13" customWidth="1"/>
    <col min="17" max="17" width="10.85546875" style="13" customWidth="1"/>
    <col min="18" max="18" width="7.85546875" style="13" customWidth="1"/>
    <col min="19" max="19" width="11.28515625" style="2" customWidth="1"/>
    <col min="20" max="16384" width="9.140625" style="2"/>
  </cols>
  <sheetData>
    <row r="1" spans="1:19" ht="6" customHeight="1" x14ac:dyDescent="0.25">
      <c r="A1" s="85" t="s">
        <v>670</v>
      </c>
      <c r="B1" s="86"/>
      <c r="C1" s="80"/>
    </row>
    <row r="2" spans="1:19" ht="10.5" customHeight="1" x14ac:dyDescent="0.25">
      <c r="A2" s="87"/>
      <c r="B2" s="88"/>
      <c r="C2" s="80"/>
    </row>
    <row r="3" spans="1:19" s="44" customFormat="1" ht="34.5" customHeight="1" x14ac:dyDescent="0.25">
      <c r="A3" s="40" t="s">
        <v>0</v>
      </c>
      <c r="B3" s="41" t="s">
        <v>1</v>
      </c>
      <c r="C3" s="41"/>
      <c r="D3" s="42" t="s">
        <v>2</v>
      </c>
      <c r="E3" s="43" t="s">
        <v>426</v>
      </c>
      <c r="F3" s="43" t="s">
        <v>427</v>
      </c>
      <c r="G3" s="43" t="s">
        <v>830</v>
      </c>
      <c r="H3" s="43" t="s">
        <v>435</v>
      </c>
      <c r="I3" s="43" t="s">
        <v>453</v>
      </c>
      <c r="J3" s="43" t="s">
        <v>436</v>
      </c>
      <c r="K3" s="43" t="s">
        <v>827</v>
      </c>
      <c r="L3" s="43" t="s">
        <v>437</v>
      </c>
      <c r="M3" s="43" t="s">
        <v>431</v>
      </c>
      <c r="N3" s="43" t="s">
        <v>442</v>
      </c>
      <c r="O3" s="43" t="s">
        <v>445</v>
      </c>
      <c r="P3" s="47" t="s">
        <v>424</v>
      </c>
      <c r="Q3" s="47" t="s">
        <v>425</v>
      </c>
      <c r="R3" s="47" t="s">
        <v>438</v>
      </c>
      <c r="S3" s="45" t="s">
        <v>428</v>
      </c>
    </row>
    <row r="4" spans="1:19" s="5" customFormat="1" ht="13.5" customHeight="1" x14ac:dyDescent="0.25">
      <c r="A4" s="14">
        <v>1</v>
      </c>
      <c r="B4" s="17" t="s">
        <v>29</v>
      </c>
      <c r="C4" s="2" t="s">
        <v>650</v>
      </c>
      <c r="D4" s="4" t="s">
        <v>375</v>
      </c>
      <c r="E4" s="48">
        <v>65</v>
      </c>
      <c r="F4" s="48">
        <v>81</v>
      </c>
      <c r="G4" s="48">
        <v>76</v>
      </c>
      <c r="H4" s="48">
        <v>77</v>
      </c>
      <c r="I4" s="48">
        <v>86</v>
      </c>
      <c r="J4" s="48">
        <v>77</v>
      </c>
      <c r="K4" s="48">
        <v>65</v>
      </c>
      <c r="L4" s="48">
        <v>81.5</v>
      </c>
      <c r="M4" s="48">
        <v>96</v>
      </c>
      <c r="N4" s="48">
        <v>91.5</v>
      </c>
      <c r="O4" s="48">
        <v>98</v>
      </c>
      <c r="P4" s="48">
        <v>91</v>
      </c>
      <c r="Q4" s="48">
        <v>95</v>
      </c>
      <c r="R4" s="48">
        <v>85</v>
      </c>
      <c r="S4" s="58">
        <f>AVERAGE(E4:R4)</f>
        <v>83.214285714285708</v>
      </c>
    </row>
    <row r="5" spans="1:19" s="5" customFormat="1" ht="13.5" customHeight="1" x14ac:dyDescent="0.3">
      <c r="A5" s="14"/>
      <c r="B5" s="17"/>
      <c r="C5" s="2"/>
      <c r="D5" s="4"/>
      <c r="E5" s="30" t="str">
        <f t="shared" ref="E5:R5" si="0">IF(E4&gt;=90,"A",IF(E4&gt;=80,"B",IF(E4&gt;=70,"C",IF(E4&gt;=60,"D","F"))))</f>
        <v>D</v>
      </c>
      <c r="F5" s="30" t="str">
        <f t="shared" si="0"/>
        <v>B</v>
      </c>
      <c r="G5" s="30" t="str">
        <f t="shared" si="0"/>
        <v>C</v>
      </c>
      <c r="H5" s="30" t="str">
        <f t="shared" si="0"/>
        <v>C</v>
      </c>
      <c r="I5" s="30" t="str">
        <f t="shared" si="0"/>
        <v>B</v>
      </c>
      <c r="J5" s="30" t="str">
        <f t="shared" si="0"/>
        <v>C</v>
      </c>
      <c r="K5" s="30" t="str">
        <f t="shared" si="0"/>
        <v>D</v>
      </c>
      <c r="L5" s="30" t="str">
        <f t="shared" si="0"/>
        <v>B</v>
      </c>
      <c r="M5" s="30" t="str">
        <f t="shared" si="0"/>
        <v>A</v>
      </c>
      <c r="N5" s="30" t="str">
        <f t="shared" si="0"/>
        <v>A</v>
      </c>
      <c r="O5" s="30" t="str">
        <f t="shared" si="0"/>
        <v>A</v>
      </c>
      <c r="P5" s="30" t="str">
        <f t="shared" si="0"/>
        <v>A</v>
      </c>
      <c r="Q5" s="30" t="str">
        <f t="shared" si="0"/>
        <v>A</v>
      </c>
      <c r="R5" s="30" t="str">
        <f t="shared" si="0"/>
        <v>B</v>
      </c>
      <c r="S5" s="58"/>
    </row>
    <row r="6" spans="1:19" s="5" customFormat="1" ht="13.5" customHeight="1" x14ac:dyDescent="0.25">
      <c r="A6" s="14">
        <v>2</v>
      </c>
      <c r="B6" s="17" t="s">
        <v>30</v>
      </c>
      <c r="C6" s="2" t="s">
        <v>651</v>
      </c>
      <c r="D6" s="4" t="s">
        <v>376</v>
      </c>
      <c r="E6" s="48">
        <v>86</v>
      </c>
      <c r="F6" s="48">
        <v>91</v>
      </c>
      <c r="G6" s="48">
        <v>100</v>
      </c>
      <c r="H6" s="48">
        <v>88</v>
      </c>
      <c r="I6" s="48">
        <v>94</v>
      </c>
      <c r="J6" s="48">
        <v>96</v>
      </c>
      <c r="K6" s="48">
        <v>84</v>
      </c>
      <c r="L6" s="48">
        <v>96</v>
      </c>
      <c r="M6" s="48">
        <v>97</v>
      </c>
      <c r="N6" s="48">
        <v>100</v>
      </c>
      <c r="O6" s="48">
        <v>100</v>
      </c>
      <c r="P6" s="48">
        <v>100</v>
      </c>
      <c r="Q6" s="48">
        <v>95</v>
      </c>
      <c r="R6" s="48">
        <v>93</v>
      </c>
      <c r="S6" s="58">
        <f t="shared" ref="S6:S44" si="1">AVERAGE(E6:R6)</f>
        <v>94.285714285714292</v>
      </c>
    </row>
    <row r="7" spans="1:19" s="5" customFormat="1" ht="13.5" customHeight="1" x14ac:dyDescent="0.3">
      <c r="A7" s="14"/>
      <c r="B7" s="17"/>
      <c r="C7" s="2"/>
      <c r="D7" s="4"/>
      <c r="E7" s="30" t="str">
        <f t="shared" ref="E7:R7" si="2">IF(E6&gt;=90,"A",IF(E6&gt;=80,"B",IF(E6&gt;=70,"C",IF(E6&gt;=60,"D","F"))))</f>
        <v>B</v>
      </c>
      <c r="F7" s="30" t="str">
        <f t="shared" si="2"/>
        <v>A</v>
      </c>
      <c r="G7" s="30" t="str">
        <f t="shared" si="2"/>
        <v>A</v>
      </c>
      <c r="H7" s="30" t="str">
        <f t="shared" si="2"/>
        <v>B</v>
      </c>
      <c r="I7" s="30" t="str">
        <f t="shared" si="2"/>
        <v>A</v>
      </c>
      <c r="J7" s="30" t="str">
        <f t="shared" si="2"/>
        <v>A</v>
      </c>
      <c r="K7" s="30" t="str">
        <f t="shared" si="2"/>
        <v>B</v>
      </c>
      <c r="L7" s="30" t="str">
        <f t="shared" si="2"/>
        <v>A</v>
      </c>
      <c r="M7" s="30" t="str">
        <f t="shared" si="2"/>
        <v>A</v>
      </c>
      <c r="N7" s="30" t="str">
        <f t="shared" si="2"/>
        <v>A</v>
      </c>
      <c r="O7" s="30" t="str">
        <f t="shared" si="2"/>
        <v>A</v>
      </c>
      <c r="P7" s="30" t="str">
        <f t="shared" si="2"/>
        <v>A</v>
      </c>
      <c r="Q7" s="30" t="str">
        <f t="shared" si="2"/>
        <v>A</v>
      </c>
      <c r="R7" s="30" t="str">
        <f t="shared" si="2"/>
        <v>A</v>
      </c>
      <c r="S7" s="58"/>
    </row>
    <row r="8" spans="1:19" s="5" customFormat="1" ht="13.5" customHeight="1" x14ac:dyDescent="0.25">
      <c r="A8" s="14">
        <v>3</v>
      </c>
      <c r="B8" s="17" t="s">
        <v>250</v>
      </c>
      <c r="C8" s="83"/>
      <c r="D8" s="4" t="s">
        <v>376</v>
      </c>
      <c r="E8" s="48">
        <v>77</v>
      </c>
      <c r="F8" s="48">
        <v>97</v>
      </c>
      <c r="G8" s="48">
        <v>81</v>
      </c>
      <c r="H8" s="48">
        <v>84</v>
      </c>
      <c r="I8" s="48">
        <v>73</v>
      </c>
      <c r="J8" s="48">
        <v>91</v>
      </c>
      <c r="K8" s="48">
        <v>74</v>
      </c>
      <c r="L8" s="48">
        <v>98</v>
      </c>
      <c r="M8" s="48">
        <v>92</v>
      </c>
      <c r="N8" s="48">
        <v>98</v>
      </c>
      <c r="O8" s="48">
        <v>99</v>
      </c>
      <c r="P8" s="48">
        <v>100</v>
      </c>
      <c r="Q8" s="48">
        <v>93</v>
      </c>
      <c r="R8" s="48">
        <v>93</v>
      </c>
      <c r="S8" s="58">
        <f t="shared" si="1"/>
        <v>89.285714285714292</v>
      </c>
    </row>
    <row r="9" spans="1:19" s="5" customFormat="1" ht="13.5" customHeight="1" x14ac:dyDescent="0.3">
      <c r="A9" s="14"/>
      <c r="B9" s="17"/>
      <c r="C9" s="2"/>
      <c r="D9" s="4"/>
      <c r="E9" s="30" t="str">
        <f t="shared" ref="E9:R9" si="3">IF(E8&gt;=90,"A",IF(E8&gt;=80,"B",IF(E8&gt;=70,"C",IF(E8&gt;=60,"D","F"))))</f>
        <v>C</v>
      </c>
      <c r="F9" s="30" t="str">
        <f t="shared" si="3"/>
        <v>A</v>
      </c>
      <c r="G9" s="30" t="str">
        <f t="shared" si="3"/>
        <v>B</v>
      </c>
      <c r="H9" s="30" t="str">
        <f t="shared" si="3"/>
        <v>B</v>
      </c>
      <c r="I9" s="30" t="str">
        <f t="shared" si="3"/>
        <v>C</v>
      </c>
      <c r="J9" s="30" t="str">
        <f t="shared" si="3"/>
        <v>A</v>
      </c>
      <c r="K9" s="30" t="str">
        <f t="shared" si="3"/>
        <v>C</v>
      </c>
      <c r="L9" s="30" t="str">
        <f t="shared" si="3"/>
        <v>A</v>
      </c>
      <c r="M9" s="30" t="str">
        <f t="shared" si="3"/>
        <v>A</v>
      </c>
      <c r="N9" s="30" t="str">
        <f t="shared" si="3"/>
        <v>A</v>
      </c>
      <c r="O9" s="30" t="str">
        <f t="shared" si="3"/>
        <v>A</v>
      </c>
      <c r="P9" s="30" t="str">
        <f t="shared" si="3"/>
        <v>A</v>
      </c>
      <c r="Q9" s="30" t="str">
        <f t="shared" si="3"/>
        <v>A</v>
      </c>
      <c r="R9" s="30" t="str">
        <f t="shared" si="3"/>
        <v>A</v>
      </c>
      <c r="S9" s="58"/>
    </row>
    <row r="10" spans="1:19" s="5" customFormat="1" ht="13.5" customHeight="1" x14ac:dyDescent="0.25">
      <c r="A10" s="14">
        <v>4</v>
      </c>
      <c r="B10" s="17" t="s">
        <v>251</v>
      </c>
      <c r="C10" s="2" t="s">
        <v>652</v>
      </c>
      <c r="D10" s="4" t="s">
        <v>375</v>
      </c>
      <c r="E10" s="48">
        <v>97</v>
      </c>
      <c r="F10" s="48">
        <v>99</v>
      </c>
      <c r="G10" s="48">
        <v>97</v>
      </c>
      <c r="H10" s="48">
        <v>100</v>
      </c>
      <c r="I10" s="48">
        <v>100</v>
      </c>
      <c r="J10" s="48">
        <v>100</v>
      </c>
      <c r="K10" s="48">
        <v>96</v>
      </c>
      <c r="L10" s="48">
        <v>99</v>
      </c>
      <c r="M10" s="48">
        <v>95</v>
      </c>
      <c r="N10" s="48">
        <v>98</v>
      </c>
      <c r="O10" s="48">
        <v>99</v>
      </c>
      <c r="P10" s="48">
        <v>100</v>
      </c>
      <c r="Q10" s="48">
        <v>92</v>
      </c>
      <c r="R10" s="48">
        <v>96</v>
      </c>
      <c r="S10" s="58">
        <f t="shared" si="1"/>
        <v>97.714285714285708</v>
      </c>
    </row>
    <row r="11" spans="1:19" s="5" customFormat="1" ht="13.5" customHeight="1" x14ac:dyDescent="0.3">
      <c r="A11" s="14"/>
      <c r="B11" s="17"/>
      <c r="C11" s="2"/>
      <c r="D11" s="4"/>
      <c r="E11" s="30" t="str">
        <f t="shared" ref="E11:R11" si="4">IF(E10&gt;=90,"A",IF(E10&gt;=80,"B",IF(E10&gt;=70,"C",IF(E10&gt;=60,"D","F"))))</f>
        <v>A</v>
      </c>
      <c r="F11" s="30" t="str">
        <f t="shared" si="4"/>
        <v>A</v>
      </c>
      <c r="G11" s="30" t="str">
        <f t="shared" si="4"/>
        <v>A</v>
      </c>
      <c r="H11" s="30" t="str">
        <f t="shared" si="4"/>
        <v>A</v>
      </c>
      <c r="I11" s="30" t="str">
        <f t="shared" si="4"/>
        <v>A</v>
      </c>
      <c r="J11" s="30" t="str">
        <f t="shared" si="4"/>
        <v>A</v>
      </c>
      <c r="K11" s="30" t="str">
        <f t="shared" si="4"/>
        <v>A</v>
      </c>
      <c r="L11" s="30" t="str">
        <f t="shared" si="4"/>
        <v>A</v>
      </c>
      <c r="M11" s="30" t="str">
        <f t="shared" si="4"/>
        <v>A</v>
      </c>
      <c r="N11" s="30" t="str">
        <f t="shared" si="4"/>
        <v>A</v>
      </c>
      <c r="O11" s="30" t="str">
        <f t="shared" si="4"/>
        <v>A</v>
      </c>
      <c r="P11" s="30" t="str">
        <f t="shared" si="4"/>
        <v>A</v>
      </c>
      <c r="Q11" s="30" t="str">
        <f t="shared" si="4"/>
        <v>A</v>
      </c>
      <c r="R11" s="30" t="str">
        <f t="shared" si="4"/>
        <v>A</v>
      </c>
      <c r="S11" s="58"/>
    </row>
    <row r="12" spans="1:19" s="5" customFormat="1" ht="13.5" customHeight="1" x14ac:dyDescent="0.25">
      <c r="A12" s="14">
        <v>5</v>
      </c>
      <c r="B12" s="17" t="s">
        <v>252</v>
      </c>
      <c r="C12" s="2" t="s">
        <v>653</v>
      </c>
      <c r="D12" s="4" t="s">
        <v>376</v>
      </c>
      <c r="E12" s="48">
        <v>95</v>
      </c>
      <c r="F12" s="48">
        <v>94</v>
      </c>
      <c r="G12" s="48">
        <v>95</v>
      </c>
      <c r="H12" s="48">
        <v>94</v>
      </c>
      <c r="I12" s="48">
        <v>90</v>
      </c>
      <c r="J12" s="48">
        <v>97</v>
      </c>
      <c r="K12" s="48">
        <v>87</v>
      </c>
      <c r="L12" s="48">
        <v>95</v>
      </c>
      <c r="M12" s="48">
        <v>94</v>
      </c>
      <c r="N12" s="48">
        <v>98</v>
      </c>
      <c r="O12" s="48">
        <v>98</v>
      </c>
      <c r="P12" s="48">
        <v>90</v>
      </c>
      <c r="Q12" s="48">
        <v>90</v>
      </c>
      <c r="R12" s="48">
        <v>94</v>
      </c>
      <c r="S12" s="58">
        <f t="shared" si="1"/>
        <v>93.642857142857139</v>
      </c>
    </row>
    <row r="13" spans="1:19" s="5" customFormat="1" ht="13.5" customHeight="1" x14ac:dyDescent="0.3">
      <c r="A13" s="14"/>
      <c r="B13" s="17"/>
      <c r="C13" s="2"/>
      <c r="D13" s="4"/>
      <c r="E13" s="30" t="str">
        <f t="shared" ref="E13:R13" si="5">IF(E12&gt;=90,"A",IF(E12&gt;=80,"B",IF(E12&gt;=70,"C",IF(E12&gt;=60,"D","F"))))</f>
        <v>A</v>
      </c>
      <c r="F13" s="30" t="str">
        <f t="shared" si="5"/>
        <v>A</v>
      </c>
      <c r="G13" s="30" t="str">
        <f t="shared" si="5"/>
        <v>A</v>
      </c>
      <c r="H13" s="30" t="str">
        <f t="shared" si="5"/>
        <v>A</v>
      </c>
      <c r="I13" s="30" t="str">
        <f t="shared" si="5"/>
        <v>A</v>
      </c>
      <c r="J13" s="30" t="str">
        <f t="shared" si="5"/>
        <v>A</v>
      </c>
      <c r="K13" s="30" t="str">
        <f t="shared" si="5"/>
        <v>B</v>
      </c>
      <c r="L13" s="30" t="str">
        <f t="shared" si="5"/>
        <v>A</v>
      </c>
      <c r="M13" s="30" t="str">
        <f t="shared" si="5"/>
        <v>A</v>
      </c>
      <c r="N13" s="30" t="str">
        <f t="shared" si="5"/>
        <v>A</v>
      </c>
      <c r="O13" s="30" t="str">
        <f t="shared" si="5"/>
        <v>A</v>
      </c>
      <c r="P13" s="30" t="str">
        <f t="shared" si="5"/>
        <v>A</v>
      </c>
      <c r="Q13" s="30" t="str">
        <f t="shared" si="5"/>
        <v>A</v>
      </c>
      <c r="R13" s="30" t="str">
        <f t="shared" si="5"/>
        <v>A</v>
      </c>
      <c r="S13" s="58"/>
    </row>
    <row r="14" spans="1:19" s="5" customFormat="1" ht="13.5" customHeight="1" x14ac:dyDescent="0.25">
      <c r="A14" s="14">
        <v>6</v>
      </c>
      <c r="B14" s="17" t="s">
        <v>253</v>
      </c>
      <c r="C14" s="2" t="s">
        <v>654</v>
      </c>
      <c r="D14" s="4" t="s">
        <v>376</v>
      </c>
      <c r="E14" s="48">
        <v>66</v>
      </c>
      <c r="F14" s="48">
        <v>87</v>
      </c>
      <c r="G14" s="48">
        <v>73</v>
      </c>
      <c r="H14" s="48">
        <v>83</v>
      </c>
      <c r="I14" s="48">
        <v>80</v>
      </c>
      <c r="J14" s="48">
        <v>83</v>
      </c>
      <c r="K14" s="48">
        <v>70</v>
      </c>
      <c r="L14" s="48">
        <v>87</v>
      </c>
      <c r="M14" s="48">
        <v>84</v>
      </c>
      <c r="N14" s="48">
        <v>98</v>
      </c>
      <c r="O14" s="48">
        <v>100</v>
      </c>
      <c r="P14" s="48">
        <v>99</v>
      </c>
      <c r="Q14" s="48">
        <v>97</v>
      </c>
      <c r="R14" s="48">
        <v>95</v>
      </c>
      <c r="S14" s="58">
        <f t="shared" si="1"/>
        <v>85.857142857142861</v>
      </c>
    </row>
    <row r="15" spans="1:19" s="5" customFormat="1" ht="13.5" customHeight="1" x14ac:dyDescent="0.3">
      <c r="A15" s="14"/>
      <c r="B15" s="17"/>
      <c r="C15" s="2"/>
      <c r="D15" s="4"/>
      <c r="E15" s="30" t="str">
        <f t="shared" ref="E15:R15" si="6">IF(E14&gt;=90,"A",IF(E14&gt;=80,"B",IF(E14&gt;=70,"C",IF(E14&gt;=60,"D","F"))))</f>
        <v>D</v>
      </c>
      <c r="F15" s="30" t="str">
        <f t="shared" si="6"/>
        <v>B</v>
      </c>
      <c r="G15" s="30" t="str">
        <f t="shared" si="6"/>
        <v>C</v>
      </c>
      <c r="H15" s="30" t="str">
        <f t="shared" si="6"/>
        <v>B</v>
      </c>
      <c r="I15" s="30" t="str">
        <f t="shared" si="6"/>
        <v>B</v>
      </c>
      <c r="J15" s="30" t="str">
        <f t="shared" si="6"/>
        <v>B</v>
      </c>
      <c r="K15" s="30" t="str">
        <f t="shared" si="6"/>
        <v>C</v>
      </c>
      <c r="L15" s="30" t="str">
        <f t="shared" si="6"/>
        <v>B</v>
      </c>
      <c r="M15" s="30" t="str">
        <f t="shared" si="6"/>
        <v>B</v>
      </c>
      <c r="N15" s="30" t="str">
        <f t="shared" si="6"/>
        <v>A</v>
      </c>
      <c r="O15" s="30" t="str">
        <f t="shared" si="6"/>
        <v>A</v>
      </c>
      <c r="P15" s="30" t="str">
        <f t="shared" si="6"/>
        <v>A</v>
      </c>
      <c r="Q15" s="30" t="str">
        <f t="shared" si="6"/>
        <v>A</v>
      </c>
      <c r="R15" s="30" t="str">
        <f t="shared" si="6"/>
        <v>A</v>
      </c>
      <c r="S15" s="58"/>
    </row>
    <row r="16" spans="1:19" s="5" customFormat="1" ht="13.5" customHeight="1" x14ac:dyDescent="0.25">
      <c r="A16" s="14">
        <v>7</v>
      </c>
      <c r="B16" s="17" t="s">
        <v>399</v>
      </c>
      <c r="C16" s="2" t="s">
        <v>655</v>
      </c>
      <c r="D16" s="4" t="s">
        <v>376</v>
      </c>
      <c r="E16" s="48">
        <v>91</v>
      </c>
      <c r="F16" s="48">
        <v>83</v>
      </c>
      <c r="G16" s="48">
        <v>81</v>
      </c>
      <c r="H16" s="48">
        <v>82</v>
      </c>
      <c r="I16" s="48">
        <v>89</v>
      </c>
      <c r="J16" s="48">
        <v>90</v>
      </c>
      <c r="K16" s="48">
        <v>75</v>
      </c>
      <c r="L16" s="48">
        <v>93</v>
      </c>
      <c r="M16" s="48">
        <v>93</v>
      </c>
      <c r="N16" s="48">
        <v>88</v>
      </c>
      <c r="O16" s="48">
        <v>100</v>
      </c>
      <c r="P16" s="48">
        <v>85</v>
      </c>
      <c r="Q16" s="48">
        <v>95</v>
      </c>
      <c r="R16" s="48">
        <v>94</v>
      </c>
      <c r="S16" s="58">
        <f t="shared" si="1"/>
        <v>88.5</v>
      </c>
    </row>
    <row r="17" spans="1:19" s="5" customFormat="1" ht="13.5" customHeight="1" x14ac:dyDescent="0.3">
      <c r="A17" s="14"/>
      <c r="B17" s="17"/>
      <c r="C17" s="2"/>
      <c r="D17" s="4"/>
      <c r="E17" s="30" t="str">
        <f t="shared" ref="E17:R17" si="7">IF(E16&gt;=90,"A",IF(E16&gt;=80,"B",IF(E16&gt;=70,"C",IF(E16&gt;=60,"D","F"))))</f>
        <v>A</v>
      </c>
      <c r="F17" s="30" t="str">
        <f t="shared" si="7"/>
        <v>B</v>
      </c>
      <c r="G17" s="30" t="str">
        <f t="shared" si="7"/>
        <v>B</v>
      </c>
      <c r="H17" s="30" t="str">
        <f t="shared" si="7"/>
        <v>B</v>
      </c>
      <c r="I17" s="30" t="str">
        <f t="shared" si="7"/>
        <v>B</v>
      </c>
      <c r="J17" s="30" t="str">
        <f t="shared" si="7"/>
        <v>A</v>
      </c>
      <c r="K17" s="30" t="str">
        <f t="shared" si="7"/>
        <v>C</v>
      </c>
      <c r="L17" s="30" t="str">
        <f t="shared" si="7"/>
        <v>A</v>
      </c>
      <c r="M17" s="30" t="str">
        <f t="shared" si="7"/>
        <v>A</v>
      </c>
      <c r="N17" s="30" t="str">
        <f t="shared" si="7"/>
        <v>B</v>
      </c>
      <c r="O17" s="30" t="str">
        <f t="shared" si="7"/>
        <v>A</v>
      </c>
      <c r="P17" s="30" t="str">
        <f t="shared" si="7"/>
        <v>B</v>
      </c>
      <c r="Q17" s="30" t="str">
        <f t="shared" si="7"/>
        <v>A</v>
      </c>
      <c r="R17" s="30" t="str">
        <f t="shared" si="7"/>
        <v>A</v>
      </c>
      <c r="S17" s="58"/>
    </row>
    <row r="18" spans="1:19" s="5" customFormat="1" ht="13.5" customHeight="1" x14ac:dyDescent="0.25">
      <c r="A18" s="14">
        <v>8</v>
      </c>
      <c r="B18" s="17" t="s">
        <v>254</v>
      </c>
      <c r="C18" s="2" t="s">
        <v>656</v>
      </c>
      <c r="D18" s="4" t="s">
        <v>375</v>
      </c>
      <c r="E18" s="48">
        <v>86</v>
      </c>
      <c r="F18" s="48">
        <v>93</v>
      </c>
      <c r="G18" s="48">
        <v>91</v>
      </c>
      <c r="H18" s="48">
        <v>86</v>
      </c>
      <c r="I18" s="48">
        <v>94</v>
      </c>
      <c r="J18" s="48">
        <v>96</v>
      </c>
      <c r="K18" s="48">
        <v>76</v>
      </c>
      <c r="L18" s="48">
        <v>96</v>
      </c>
      <c r="M18" s="48">
        <v>98</v>
      </c>
      <c r="N18" s="48">
        <v>100</v>
      </c>
      <c r="O18" s="48">
        <v>100</v>
      </c>
      <c r="P18" s="48">
        <v>97</v>
      </c>
      <c r="Q18" s="48">
        <v>100</v>
      </c>
      <c r="R18" s="48">
        <v>100</v>
      </c>
      <c r="S18" s="58">
        <f t="shared" si="1"/>
        <v>93.785714285714292</v>
      </c>
    </row>
    <row r="19" spans="1:19" s="5" customFormat="1" ht="13.5" customHeight="1" x14ac:dyDescent="0.3">
      <c r="A19" s="14"/>
      <c r="B19" s="17"/>
      <c r="C19" s="2"/>
      <c r="D19" s="4"/>
      <c r="E19" s="30" t="str">
        <f t="shared" ref="E19:R19" si="8">IF(E18&gt;=90,"A",IF(E18&gt;=80,"B",IF(E18&gt;=70,"C",IF(E18&gt;=60,"D","F"))))</f>
        <v>B</v>
      </c>
      <c r="F19" s="30" t="str">
        <f t="shared" si="8"/>
        <v>A</v>
      </c>
      <c r="G19" s="30" t="str">
        <f t="shared" si="8"/>
        <v>A</v>
      </c>
      <c r="H19" s="30" t="str">
        <f t="shared" si="8"/>
        <v>B</v>
      </c>
      <c r="I19" s="30" t="str">
        <f t="shared" si="8"/>
        <v>A</v>
      </c>
      <c r="J19" s="30" t="str">
        <f t="shared" si="8"/>
        <v>A</v>
      </c>
      <c r="K19" s="30" t="str">
        <f t="shared" si="8"/>
        <v>C</v>
      </c>
      <c r="L19" s="30" t="str">
        <f t="shared" si="8"/>
        <v>A</v>
      </c>
      <c r="M19" s="30" t="str">
        <f t="shared" si="8"/>
        <v>A</v>
      </c>
      <c r="N19" s="30" t="str">
        <f t="shared" si="8"/>
        <v>A</v>
      </c>
      <c r="O19" s="30" t="str">
        <f t="shared" si="8"/>
        <v>A</v>
      </c>
      <c r="P19" s="30" t="str">
        <f t="shared" si="8"/>
        <v>A</v>
      </c>
      <c r="Q19" s="30" t="str">
        <f t="shared" si="8"/>
        <v>A</v>
      </c>
      <c r="R19" s="30" t="str">
        <f t="shared" si="8"/>
        <v>A</v>
      </c>
      <c r="S19" s="58"/>
    </row>
    <row r="20" spans="1:19" s="5" customFormat="1" ht="13.5" customHeight="1" x14ac:dyDescent="0.25">
      <c r="A20" s="14">
        <v>9</v>
      </c>
      <c r="B20" s="17" t="s">
        <v>255</v>
      </c>
      <c r="C20" s="2" t="s">
        <v>657</v>
      </c>
      <c r="D20" s="4" t="s">
        <v>376</v>
      </c>
      <c r="E20" s="48">
        <v>57</v>
      </c>
      <c r="F20" s="48">
        <v>88</v>
      </c>
      <c r="G20" s="48">
        <v>75</v>
      </c>
      <c r="H20" s="48">
        <v>80</v>
      </c>
      <c r="I20" s="48">
        <v>69</v>
      </c>
      <c r="J20" s="48">
        <v>69</v>
      </c>
      <c r="K20" s="48">
        <v>73</v>
      </c>
      <c r="L20" s="48">
        <v>81</v>
      </c>
      <c r="M20" s="48">
        <v>80</v>
      </c>
      <c r="N20" s="48">
        <v>97</v>
      </c>
      <c r="O20" s="48">
        <v>99</v>
      </c>
      <c r="P20" s="48">
        <v>100</v>
      </c>
      <c r="Q20" s="48">
        <v>95</v>
      </c>
      <c r="R20" s="48">
        <v>93</v>
      </c>
      <c r="S20" s="58">
        <f t="shared" si="1"/>
        <v>82.571428571428569</v>
      </c>
    </row>
    <row r="21" spans="1:19" s="5" customFormat="1" ht="13.5" customHeight="1" x14ac:dyDescent="0.3">
      <c r="A21" s="14"/>
      <c r="B21" s="17"/>
      <c r="C21" s="2"/>
      <c r="D21" s="4"/>
      <c r="E21" s="30" t="str">
        <f t="shared" ref="E21:R21" si="9">IF(E20&gt;=90,"A",IF(E20&gt;=80,"B",IF(E20&gt;=70,"C",IF(E20&gt;=60,"D","F"))))</f>
        <v>F</v>
      </c>
      <c r="F21" s="30" t="str">
        <f t="shared" si="9"/>
        <v>B</v>
      </c>
      <c r="G21" s="30" t="str">
        <f t="shared" si="9"/>
        <v>C</v>
      </c>
      <c r="H21" s="30" t="str">
        <f t="shared" si="9"/>
        <v>B</v>
      </c>
      <c r="I21" s="30" t="str">
        <f t="shared" si="9"/>
        <v>D</v>
      </c>
      <c r="J21" s="30" t="str">
        <f t="shared" si="9"/>
        <v>D</v>
      </c>
      <c r="K21" s="30" t="str">
        <f t="shared" si="9"/>
        <v>C</v>
      </c>
      <c r="L21" s="30" t="str">
        <f t="shared" si="9"/>
        <v>B</v>
      </c>
      <c r="M21" s="30" t="str">
        <f t="shared" si="9"/>
        <v>B</v>
      </c>
      <c r="N21" s="30" t="str">
        <f t="shared" si="9"/>
        <v>A</v>
      </c>
      <c r="O21" s="30" t="str">
        <f t="shared" si="9"/>
        <v>A</v>
      </c>
      <c r="P21" s="30" t="str">
        <f t="shared" si="9"/>
        <v>A</v>
      </c>
      <c r="Q21" s="30" t="str">
        <f t="shared" si="9"/>
        <v>A</v>
      </c>
      <c r="R21" s="30" t="str">
        <f t="shared" si="9"/>
        <v>A</v>
      </c>
      <c r="S21" s="58"/>
    </row>
    <row r="22" spans="1:19" s="5" customFormat="1" ht="13.5" customHeight="1" x14ac:dyDescent="0.25">
      <c r="A22" s="14">
        <v>10</v>
      </c>
      <c r="B22" s="17" t="s">
        <v>256</v>
      </c>
      <c r="C22" s="2" t="s">
        <v>658</v>
      </c>
      <c r="D22" s="4" t="s">
        <v>375</v>
      </c>
      <c r="E22" s="22">
        <v>90</v>
      </c>
      <c r="F22" s="38">
        <v>83</v>
      </c>
      <c r="G22" s="48">
        <v>85</v>
      </c>
      <c r="H22" s="48">
        <v>81</v>
      </c>
      <c r="I22" s="48">
        <v>85</v>
      </c>
      <c r="J22" s="48">
        <v>82</v>
      </c>
      <c r="K22" s="48">
        <v>64</v>
      </c>
      <c r="L22" s="48">
        <v>84</v>
      </c>
      <c r="M22" s="48">
        <v>76</v>
      </c>
      <c r="N22" s="48">
        <v>88</v>
      </c>
      <c r="O22" s="48">
        <v>98</v>
      </c>
      <c r="P22" s="48">
        <v>98</v>
      </c>
      <c r="Q22" s="48">
        <v>95</v>
      </c>
      <c r="R22" s="48">
        <v>85</v>
      </c>
      <c r="S22" s="58">
        <f t="shared" si="1"/>
        <v>85.285714285714292</v>
      </c>
    </row>
    <row r="23" spans="1:19" s="5" customFormat="1" ht="13.5" customHeight="1" x14ac:dyDescent="0.3">
      <c r="A23" s="14"/>
      <c r="B23" s="17"/>
      <c r="C23" s="2"/>
      <c r="D23" s="4"/>
      <c r="E23" s="30" t="str">
        <f t="shared" ref="E23:R23" si="10">IF(E22&gt;=90,"A",IF(E22&gt;=80,"B",IF(E22&gt;=70,"C",IF(E22&gt;=60,"D","F"))))</f>
        <v>A</v>
      </c>
      <c r="F23" s="30" t="str">
        <f t="shared" si="10"/>
        <v>B</v>
      </c>
      <c r="G23" s="30" t="str">
        <f t="shared" si="10"/>
        <v>B</v>
      </c>
      <c r="H23" s="30" t="str">
        <f t="shared" si="10"/>
        <v>B</v>
      </c>
      <c r="I23" s="30" t="str">
        <f t="shared" si="10"/>
        <v>B</v>
      </c>
      <c r="J23" s="30" t="str">
        <f t="shared" si="10"/>
        <v>B</v>
      </c>
      <c r="K23" s="30" t="str">
        <f t="shared" si="10"/>
        <v>D</v>
      </c>
      <c r="L23" s="30" t="str">
        <f t="shared" si="10"/>
        <v>B</v>
      </c>
      <c r="M23" s="30" t="str">
        <f t="shared" si="10"/>
        <v>C</v>
      </c>
      <c r="N23" s="30" t="str">
        <f t="shared" si="10"/>
        <v>B</v>
      </c>
      <c r="O23" s="30" t="str">
        <f t="shared" si="10"/>
        <v>A</v>
      </c>
      <c r="P23" s="30" t="str">
        <f t="shared" si="10"/>
        <v>A</v>
      </c>
      <c r="Q23" s="30" t="str">
        <f t="shared" si="10"/>
        <v>A</v>
      </c>
      <c r="R23" s="30" t="str">
        <f t="shared" si="10"/>
        <v>B</v>
      </c>
      <c r="S23" s="58"/>
    </row>
    <row r="24" spans="1:19" s="5" customFormat="1" ht="13.5" customHeight="1" x14ac:dyDescent="0.25">
      <c r="A24" s="14">
        <v>11</v>
      </c>
      <c r="B24" s="17" t="s">
        <v>257</v>
      </c>
      <c r="C24" s="2" t="s">
        <v>659</v>
      </c>
      <c r="D24" s="4" t="s">
        <v>375</v>
      </c>
      <c r="E24" s="48">
        <v>92</v>
      </c>
      <c r="F24" s="48">
        <v>88</v>
      </c>
      <c r="G24" s="48">
        <v>97</v>
      </c>
      <c r="H24" s="48">
        <v>97</v>
      </c>
      <c r="I24" s="48">
        <v>95</v>
      </c>
      <c r="J24" s="48">
        <v>92</v>
      </c>
      <c r="K24" s="48">
        <v>86</v>
      </c>
      <c r="L24" s="48">
        <v>91</v>
      </c>
      <c r="M24" s="48">
        <v>93</v>
      </c>
      <c r="N24" s="48">
        <v>95</v>
      </c>
      <c r="O24" s="48">
        <v>99</v>
      </c>
      <c r="P24" s="48">
        <v>100</v>
      </c>
      <c r="Q24" s="48">
        <v>100</v>
      </c>
      <c r="R24" s="48">
        <v>96</v>
      </c>
      <c r="S24" s="58">
        <f t="shared" si="1"/>
        <v>94.357142857142861</v>
      </c>
    </row>
    <row r="25" spans="1:19" s="5" customFormat="1" ht="13.5" customHeight="1" x14ac:dyDescent="0.3">
      <c r="A25" s="14"/>
      <c r="B25" s="17"/>
      <c r="C25" s="2"/>
      <c r="D25" s="4"/>
      <c r="E25" s="30" t="str">
        <f t="shared" ref="E25:R25" si="11">IF(E24&gt;=90,"A",IF(E24&gt;=80,"B",IF(E24&gt;=70,"C",IF(E24&gt;=60,"D","F"))))</f>
        <v>A</v>
      </c>
      <c r="F25" s="30" t="str">
        <f t="shared" si="11"/>
        <v>B</v>
      </c>
      <c r="G25" s="30" t="str">
        <f t="shared" si="11"/>
        <v>A</v>
      </c>
      <c r="H25" s="30" t="str">
        <f t="shared" si="11"/>
        <v>A</v>
      </c>
      <c r="I25" s="30" t="str">
        <f t="shared" si="11"/>
        <v>A</v>
      </c>
      <c r="J25" s="30" t="str">
        <f t="shared" si="11"/>
        <v>A</v>
      </c>
      <c r="K25" s="30" t="str">
        <f t="shared" si="11"/>
        <v>B</v>
      </c>
      <c r="L25" s="30" t="str">
        <f t="shared" si="11"/>
        <v>A</v>
      </c>
      <c r="M25" s="30" t="str">
        <f t="shared" si="11"/>
        <v>A</v>
      </c>
      <c r="N25" s="30" t="str">
        <f t="shared" si="11"/>
        <v>A</v>
      </c>
      <c r="O25" s="30" t="str">
        <f t="shared" si="11"/>
        <v>A</v>
      </c>
      <c r="P25" s="30" t="str">
        <f t="shared" si="11"/>
        <v>A</v>
      </c>
      <c r="Q25" s="30" t="str">
        <f t="shared" si="11"/>
        <v>A</v>
      </c>
      <c r="R25" s="30" t="str">
        <f t="shared" si="11"/>
        <v>A</v>
      </c>
      <c r="S25" s="58"/>
    </row>
    <row r="26" spans="1:19" s="5" customFormat="1" ht="13.5" customHeight="1" x14ac:dyDescent="0.25">
      <c r="A26" s="14">
        <v>12</v>
      </c>
      <c r="B26" s="17" t="s">
        <v>258</v>
      </c>
      <c r="C26" s="2" t="s">
        <v>660</v>
      </c>
      <c r="D26" s="4" t="s">
        <v>376</v>
      </c>
      <c r="E26" s="62">
        <v>0</v>
      </c>
      <c r="F26" s="62">
        <v>0</v>
      </c>
      <c r="G26" s="48">
        <v>80</v>
      </c>
      <c r="H26" s="48">
        <v>80</v>
      </c>
      <c r="I26" s="62">
        <v>0</v>
      </c>
      <c r="J26" s="62">
        <v>0</v>
      </c>
      <c r="K26" s="62">
        <v>0</v>
      </c>
      <c r="L26" s="62">
        <v>0</v>
      </c>
      <c r="M26" s="62">
        <v>0</v>
      </c>
      <c r="N26" s="48">
        <v>97</v>
      </c>
      <c r="O26" s="48">
        <v>98</v>
      </c>
      <c r="P26" s="48">
        <v>93</v>
      </c>
      <c r="Q26" s="48">
        <v>94</v>
      </c>
      <c r="R26" s="48">
        <v>80</v>
      </c>
      <c r="S26" s="58">
        <f>AVERAGE(G26,H26,N26:R26)</f>
        <v>88.857142857142861</v>
      </c>
    </row>
    <row r="27" spans="1:19" s="5" customFormat="1" ht="13.5" customHeight="1" x14ac:dyDescent="0.3">
      <c r="A27" s="14"/>
      <c r="B27" s="17"/>
      <c r="C27" s="2"/>
      <c r="D27" s="4"/>
      <c r="E27" s="62"/>
      <c r="F27" s="62"/>
      <c r="G27" s="30" t="str">
        <f t="shared" ref="G27:H27" si="12">IF(G26&gt;=90,"A",IF(G26&gt;=80,"B",IF(G26&gt;=70,"C",IF(G26&gt;=60,"D","F"))))</f>
        <v>B</v>
      </c>
      <c r="H27" s="30" t="str">
        <f t="shared" si="12"/>
        <v>B</v>
      </c>
      <c r="I27" s="62"/>
      <c r="J27" s="62"/>
      <c r="K27" s="62"/>
      <c r="L27" s="62"/>
      <c r="M27" s="62"/>
      <c r="N27" s="30" t="str">
        <f t="shared" ref="N27:R27" si="13">IF(N26&gt;=90,"A",IF(N26&gt;=80,"B",IF(N26&gt;=70,"C",IF(N26&gt;=60,"D","F"))))</f>
        <v>A</v>
      </c>
      <c r="O27" s="30" t="str">
        <f t="shared" si="13"/>
        <v>A</v>
      </c>
      <c r="P27" s="30" t="str">
        <f t="shared" si="13"/>
        <v>A</v>
      </c>
      <c r="Q27" s="30" t="str">
        <f t="shared" si="13"/>
        <v>A</v>
      </c>
      <c r="R27" s="30" t="str">
        <f t="shared" si="13"/>
        <v>B</v>
      </c>
      <c r="S27" s="58"/>
    </row>
    <row r="28" spans="1:19" s="5" customFormat="1" ht="13.5" customHeight="1" x14ac:dyDescent="0.25">
      <c r="A28" s="14">
        <v>13</v>
      </c>
      <c r="B28" s="17" t="s">
        <v>31</v>
      </c>
      <c r="C28" s="2" t="s">
        <v>661</v>
      </c>
      <c r="D28" s="4" t="s">
        <v>375</v>
      </c>
      <c r="E28" s="48">
        <v>62</v>
      </c>
      <c r="F28" s="48">
        <v>83</v>
      </c>
      <c r="G28" s="48">
        <v>80</v>
      </c>
      <c r="H28" s="48">
        <v>86</v>
      </c>
      <c r="I28" s="48">
        <v>82</v>
      </c>
      <c r="J28" s="48">
        <v>79</v>
      </c>
      <c r="K28" s="48">
        <v>73</v>
      </c>
      <c r="L28" s="48">
        <v>90.5</v>
      </c>
      <c r="M28" s="48">
        <v>93</v>
      </c>
      <c r="N28" s="48">
        <v>88</v>
      </c>
      <c r="O28" s="48">
        <v>100</v>
      </c>
      <c r="P28" s="48">
        <v>86</v>
      </c>
      <c r="Q28" s="48">
        <v>96</v>
      </c>
      <c r="R28" s="48">
        <v>85</v>
      </c>
      <c r="S28" s="58">
        <f t="shared" si="1"/>
        <v>84.535714285714292</v>
      </c>
    </row>
    <row r="29" spans="1:19" s="5" customFormat="1" ht="13.5" customHeight="1" x14ac:dyDescent="0.3">
      <c r="A29" s="14"/>
      <c r="B29" s="17"/>
      <c r="C29" s="2"/>
      <c r="D29" s="4"/>
      <c r="E29" s="30" t="str">
        <f t="shared" ref="E29:R29" si="14">IF(E28&gt;=90,"A",IF(E28&gt;=80,"B",IF(E28&gt;=70,"C",IF(E28&gt;=60,"D","F"))))</f>
        <v>D</v>
      </c>
      <c r="F29" s="30" t="str">
        <f t="shared" si="14"/>
        <v>B</v>
      </c>
      <c r="G29" s="30" t="str">
        <f t="shared" si="14"/>
        <v>B</v>
      </c>
      <c r="H29" s="30" t="str">
        <f t="shared" si="14"/>
        <v>B</v>
      </c>
      <c r="I29" s="30" t="str">
        <f t="shared" si="14"/>
        <v>B</v>
      </c>
      <c r="J29" s="30" t="str">
        <f t="shared" si="14"/>
        <v>C</v>
      </c>
      <c r="K29" s="30" t="str">
        <f t="shared" si="14"/>
        <v>C</v>
      </c>
      <c r="L29" s="30" t="str">
        <f t="shared" si="14"/>
        <v>A</v>
      </c>
      <c r="M29" s="30" t="str">
        <f t="shared" si="14"/>
        <v>A</v>
      </c>
      <c r="N29" s="30" t="str">
        <f t="shared" si="14"/>
        <v>B</v>
      </c>
      <c r="O29" s="30" t="str">
        <f t="shared" si="14"/>
        <v>A</v>
      </c>
      <c r="P29" s="30" t="str">
        <f t="shared" si="14"/>
        <v>B</v>
      </c>
      <c r="Q29" s="30" t="str">
        <f t="shared" si="14"/>
        <v>A</v>
      </c>
      <c r="R29" s="30" t="str">
        <f t="shared" si="14"/>
        <v>B</v>
      </c>
      <c r="S29" s="58"/>
    </row>
    <row r="30" spans="1:19" s="5" customFormat="1" ht="13.5" customHeight="1" x14ac:dyDescent="0.25">
      <c r="A30" s="14">
        <v>14</v>
      </c>
      <c r="B30" s="17" t="s">
        <v>259</v>
      </c>
      <c r="C30" s="2" t="s">
        <v>662</v>
      </c>
      <c r="D30" s="4" t="s">
        <v>376</v>
      </c>
      <c r="E30" s="48">
        <v>91</v>
      </c>
      <c r="F30" s="48">
        <v>97</v>
      </c>
      <c r="G30" s="48">
        <v>91</v>
      </c>
      <c r="H30" s="48">
        <v>90</v>
      </c>
      <c r="I30" s="48">
        <v>92</v>
      </c>
      <c r="J30" s="48">
        <v>92</v>
      </c>
      <c r="K30" s="48">
        <v>83</v>
      </c>
      <c r="L30" s="48">
        <v>94</v>
      </c>
      <c r="M30" s="48">
        <v>97</v>
      </c>
      <c r="N30" s="48">
        <v>100</v>
      </c>
      <c r="O30" s="48">
        <v>100</v>
      </c>
      <c r="P30" s="48">
        <v>100</v>
      </c>
      <c r="Q30" s="48">
        <v>100</v>
      </c>
      <c r="R30" s="48">
        <v>98</v>
      </c>
      <c r="S30" s="58">
        <f t="shared" si="1"/>
        <v>94.642857142857139</v>
      </c>
    </row>
    <row r="31" spans="1:19" s="5" customFormat="1" ht="13.5" customHeight="1" x14ac:dyDescent="0.3">
      <c r="A31" s="14"/>
      <c r="B31" s="17"/>
      <c r="C31" s="2"/>
      <c r="D31" s="4"/>
      <c r="E31" s="30" t="str">
        <f t="shared" ref="E31:R31" si="15">IF(E30&gt;=90,"A",IF(E30&gt;=80,"B",IF(E30&gt;=70,"C",IF(E30&gt;=60,"D","F"))))</f>
        <v>A</v>
      </c>
      <c r="F31" s="30" t="str">
        <f t="shared" si="15"/>
        <v>A</v>
      </c>
      <c r="G31" s="30" t="str">
        <f t="shared" si="15"/>
        <v>A</v>
      </c>
      <c r="H31" s="30" t="str">
        <f t="shared" si="15"/>
        <v>A</v>
      </c>
      <c r="I31" s="30" t="str">
        <f t="shared" si="15"/>
        <v>A</v>
      </c>
      <c r="J31" s="30" t="str">
        <f t="shared" si="15"/>
        <v>A</v>
      </c>
      <c r="K31" s="30" t="str">
        <f t="shared" si="15"/>
        <v>B</v>
      </c>
      <c r="L31" s="30" t="str">
        <f t="shared" si="15"/>
        <v>A</v>
      </c>
      <c r="M31" s="30" t="str">
        <f t="shared" si="15"/>
        <v>A</v>
      </c>
      <c r="N31" s="30" t="str">
        <f t="shared" si="15"/>
        <v>A</v>
      </c>
      <c r="O31" s="30" t="str">
        <f t="shared" si="15"/>
        <v>A</v>
      </c>
      <c r="P31" s="30" t="str">
        <f t="shared" si="15"/>
        <v>A</v>
      </c>
      <c r="Q31" s="30" t="str">
        <f t="shared" si="15"/>
        <v>A</v>
      </c>
      <c r="R31" s="30" t="str">
        <f t="shared" si="15"/>
        <v>A</v>
      </c>
      <c r="S31" s="58"/>
    </row>
    <row r="32" spans="1:19" s="5" customFormat="1" ht="13.5" customHeight="1" x14ac:dyDescent="0.25">
      <c r="A32" s="14">
        <v>15</v>
      </c>
      <c r="B32" s="15" t="s">
        <v>380</v>
      </c>
      <c r="C32" s="2" t="s">
        <v>663</v>
      </c>
      <c r="D32" s="4" t="s">
        <v>376</v>
      </c>
      <c r="E32" s="48">
        <v>90</v>
      </c>
      <c r="F32" s="48">
        <v>97</v>
      </c>
      <c r="G32" s="48">
        <v>91</v>
      </c>
      <c r="H32" s="48">
        <v>82</v>
      </c>
      <c r="I32" s="48">
        <v>87</v>
      </c>
      <c r="J32" s="48">
        <v>94</v>
      </c>
      <c r="K32" s="48">
        <v>83</v>
      </c>
      <c r="L32" s="48">
        <v>95</v>
      </c>
      <c r="M32" s="48">
        <v>91</v>
      </c>
      <c r="N32" s="48">
        <v>95</v>
      </c>
      <c r="O32" s="48">
        <v>98</v>
      </c>
      <c r="P32" s="48">
        <v>93</v>
      </c>
      <c r="Q32" s="48">
        <v>97</v>
      </c>
      <c r="R32" s="48">
        <v>93</v>
      </c>
      <c r="S32" s="58">
        <f t="shared" si="1"/>
        <v>91.857142857142861</v>
      </c>
    </row>
    <row r="33" spans="1:19" s="5" customFormat="1" ht="13.5" customHeight="1" x14ac:dyDescent="0.3">
      <c r="A33" s="14"/>
      <c r="B33" s="15"/>
      <c r="C33" s="2"/>
      <c r="D33" s="4"/>
      <c r="E33" s="30" t="str">
        <f t="shared" ref="E33:R33" si="16">IF(E32&gt;=90,"A",IF(E32&gt;=80,"B",IF(E32&gt;=70,"C",IF(E32&gt;=60,"D","F"))))</f>
        <v>A</v>
      </c>
      <c r="F33" s="30" t="str">
        <f t="shared" si="16"/>
        <v>A</v>
      </c>
      <c r="G33" s="30" t="str">
        <f t="shared" si="16"/>
        <v>A</v>
      </c>
      <c r="H33" s="30" t="str">
        <f t="shared" si="16"/>
        <v>B</v>
      </c>
      <c r="I33" s="30" t="str">
        <f t="shared" si="16"/>
        <v>B</v>
      </c>
      <c r="J33" s="30" t="str">
        <f t="shared" si="16"/>
        <v>A</v>
      </c>
      <c r="K33" s="30" t="str">
        <f t="shared" si="16"/>
        <v>B</v>
      </c>
      <c r="L33" s="30" t="str">
        <f t="shared" si="16"/>
        <v>A</v>
      </c>
      <c r="M33" s="30" t="str">
        <f t="shared" si="16"/>
        <v>A</v>
      </c>
      <c r="N33" s="30" t="str">
        <f t="shared" si="16"/>
        <v>A</v>
      </c>
      <c r="O33" s="30" t="str">
        <f t="shared" si="16"/>
        <v>A</v>
      </c>
      <c r="P33" s="30" t="str">
        <f t="shared" si="16"/>
        <v>A</v>
      </c>
      <c r="Q33" s="30" t="str">
        <f t="shared" si="16"/>
        <v>A</v>
      </c>
      <c r="R33" s="30" t="str">
        <f t="shared" si="16"/>
        <v>A</v>
      </c>
      <c r="S33" s="58"/>
    </row>
    <row r="34" spans="1:19" s="5" customFormat="1" ht="13.5" customHeight="1" x14ac:dyDescent="0.25">
      <c r="A34" s="14">
        <v>16</v>
      </c>
      <c r="B34" s="15" t="s">
        <v>412</v>
      </c>
      <c r="C34" s="2" t="s">
        <v>664</v>
      </c>
      <c r="D34" s="4" t="s">
        <v>375</v>
      </c>
      <c r="E34" s="48">
        <v>80</v>
      </c>
      <c r="F34" s="62">
        <v>0</v>
      </c>
      <c r="G34" s="48">
        <v>96</v>
      </c>
      <c r="H34" s="62">
        <v>0</v>
      </c>
      <c r="I34" s="48">
        <v>91</v>
      </c>
      <c r="J34" s="62">
        <v>0</v>
      </c>
      <c r="K34" s="62">
        <v>0</v>
      </c>
      <c r="L34" s="62">
        <v>0</v>
      </c>
      <c r="M34" s="48">
        <v>93</v>
      </c>
      <c r="N34" s="48">
        <v>95</v>
      </c>
      <c r="O34" s="48">
        <v>96</v>
      </c>
      <c r="P34" s="48">
        <v>97</v>
      </c>
      <c r="Q34" s="48">
        <v>95</v>
      </c>
      <c r="R34" s="48">
        <v>91</v>
      </c>
      <c r="S34" s="58">
        <f>AVERAGE(E34,G34,I34,M34:R34)</f>
        <v>92.666666666666671</v>
      </c>
    </row>
    <row r="35" spans="1:19" s="5" customFormat="1" ht="13.5" customHeight="1" x14ac:dyDescent="0.3">
      <c r="A35" s="14"/>
      <c r="B35" s="15"/>
      <c r="C35" s="2"/>
      <c r="D35" s="4"/>
      <c r="E35" s="30" t="str">
        <f>IF(E34&gt;=90,"A",IF(E34&gt;=80,"B",IF(E34&gt;=70,"C",IF(E34&gt;=60,"D","F"))))</f>
        <v>B</v>
      </c>
      <c r="F35" s="62"/>
      <c r="G35" s="30" t="str">
        <f>IF(G34&gt;=90,"A",IF(G34&gt;=80,"B",IF(G34&gt;=70,"C",IF(G34&gt;=60,"D","F"))))</f>
        <v>A</v>
      </c>
      <c r="H35" s="62"/>
      <c r="I35" s="30" t="str">
        <f>IF(I34&gt;=90,"A",IF(I34&gt;=80,"B",IF(I34&gt;=70,"C",IF(I34&gt;=60,"D","F"))))</f>
        <v>A</v>
      </c>
      <c r="J35" s="62"/>
      <c r="K35" s="62"/>
      <c r="L35" s="62"/>
      <c r="M35" s="30" t="str">
        <f t="shared" ref="M35:R35" si="17">IF(M34&gt;=90,"A",IF(M34&gt;=80,"B",IF(M34&gt;=70,"C",IF(M34&gt;=60,"D","F"))))</f>
        <v>A</v>
      </c>
      <c r="N35" s="30" t="str">
        <f t="shared" si="17"/>
        <v>A</v>
      </c>
      <c r="O35" s="30" t="str">
        <f t="shared" si="17"/>
        <v>A</v>
      </c>
      <c r="P35" s="30" t="str">
        <f t="shared" si="17"/>
        <v>A</v>
      </c>
      <c r="Q35" s="30" t="str">
        <f t="shared" si="17"/>
        <v>A</v>
      </c>
      <c r="R35" s="30" t="str">
        <f t="shared" si="17"/>
        <v>A</v>
      </c>
      <c r="S35" s="58"/>
    </row>
    <row r="36" spans="1:19" x14ac:dyDescent="0.25">
      <c r="A36" s="14">
        <v>17</v>
      </c>
      <c r="B36" s="17" t="s">
        <v>33</v>
      </c>
      <c r="C36" s="2" t="s">
        <v>665</v>
      </c>
      <c r="D36" s="4" t="s">
        <v>376</v>
      </c>
      <c r="E36" s="29">
        <v>74</v>
      </c>
      <c r="F36" s="29">
        <v>94</v>
      </c>
      <c r="G36" s="29">
        <v>66</v>
      </c>
      <c r="H36" s="29">
        <v>70</v>
      </c>
      <c r="I36" s="29">
        <v>70</v>
      </c>
      <c r="J36" s="48">
        <v>82</v>
      </c>
      <c r="K36" s="48">
        <v>81</v>
      </c>
      <c r="L36" s="48">
        <v>100</v>
      </c>
      <c r="M36" s="48">
        <v>86</v>
      </c>
      <c r="N36" s="48">
        <v>97.5</v>
      </c>
      <c r="O36" s="48">
        <v>98</v>
      </c>
      <c r="P36" s="48">
        <v>81</v>
      </c>
      <c r="Q36" s="48">
        <v>95</v>
      </c>
      <c r="R36" s="48">
        <v>92</v>
      </c>
      <c r="S36" s="58">
        <f t="shared" si="1"/>
        <v>84.75</v>
      </c>
    </row>
    <row r="37" spans="1:19" ht="15.75" x14ac:dyDescent="0.3">
      <c r="A37" s="14"/>
      <c r="B37" s="17"/>
      <c r="C37" s="84"/>
      <c r="D37" s="4"/>
      <c r="E37" s="30" t="str">
        <f t="shared" ref="E37:R37" si="18">IF(E36&gt;=90,"A",IF(E36&gt;=80,"B",IF(E36&gt;=70,"C",IF(E36&gt;=60,"D","F"))))</f>
        <v>C</v>
      </c>
      <c r="F37" s="30" t="str">
        <f t="shared" si="18"/>
        <v>A</v>
      </c>
      <c r="G37" s="30" t="str">
        <f t="shared" si="18"/>
        <v>D</v>
      </c>
      <c r="H37" s="30" t="str">
        <f t="shared" si="18"/>
        <v>C</v>
      </c>
      <c r="I37" s="30" t="str">
        <f t="shared" si="18"/>
        <v>C</v>
      </c>
      <c r="J37" s="30" t="str">
        <f t="shared" si="18"/>
        <v>B</v>
      </c>
      <c r="K37" s="30" t="str">
        <f t="shared" si="18"/>
        <v>B</v>
      </c>
      <c r="L37" s="30" t="str">
        <f t="shared" si="18"/>
        <v>A</v>
      </c>
      <c r="M37" s="30" t="str">
        <f t="shared" si="18"/>
        <v>B</v>
      </c>
      <c r="N37" s="30" t="str">
        <f t="shared" si="18"/>
        <v>A</v>
      </c>
      <c r="O37" s="30" t="str">
        <f t="shared" si="18"/>
        <v>A</v>
      </c>
      <c r="P37" s="30" t="str">
        <f t="shared" si="18"/>
        <v>B</v>
      </c>
      <c r="Q37" s="30" t="str">
        <f t="shared" si="18"/>
        <v>A</v>
      </c>
      <c r="R37" s="30" t="str">
        <f t="shared" si="18"/>
        <v>A</v>
      </c>
      <c r="S37" s="58"/>
    </row>
    <row r="38" spans="1:19" x14ac:dyDescent="0.25">
      <c r="A38" s="14">
        <v>18</v>
      </c>
      <c r="B38" s="17" t="s">
        <v>260</v>
      </c>
      <c r="C38" s="2" t="s">
        <v>666</v>
      </c>
      <c r="D38" s="4" t="s">
        <v>376</v>
      </c>
      <c r="E38" s="29">
        <v>94</v>
      </c>
      <c r="F38" s="29">
        <v>95</v>
      </c>
      <c r="G38" s="29">
        <v>94</v>
      </c>
      <c r="H38" s="29">
        <v>94</v>
      </c>
      <c r="I38" s="29">
        <v>97</v>
      </c>
      <c r="J38" s="29">
        <v>92</v>
      </c>
      <c r="K38" s="48">
        <v>88</v>
      </c>
      <c r="L38" s="48">
        <v>95</v>
      </c>
      <c r="M38" s="48">
        <v>92</v>
      </c>
      <c r="N38" s="48">
        <v>100</v>
      </c>
      <c r="O38" s="48">
        <v>100</v>
      </c>
      <c r="P38" s="48">
        <v>100</v>
      </c>
      <c r="Q38" s="48">
        <v>100</v>
      </c>
      <c r="R38" s="48">
        <v>98</v>
      </c>
      <c r="S38" s="58">
        <f t="shared" si="1"/>
        <v>95.642857142857139</v>
      </c>
    </row>
    <row r="39" spans="1:19" ht="15.75" x14ac:dyDescent="0.3">
      <c r="A39" s="14"/>
      <c r="B39" s="17"/>
      <c r="C39" s="2"/>
      <c r="D39" s="4"/>
      <c r="E39" s="30" t="str">
        <f t="shared" ref="E39:R39" si="19">IF(E38&gt;=90,"A",IF(E38&gt;=80,"B",IF(E38&gt;=70,"C",IF(E38&gt;=60,"D","F"))))</f>
        <v>A</v>
      </c>
      <c r="F39" s="30" t="str">
        <f t="shared" si="19"/>
        <v>A</v>
      </c>
      <c r="G39" s="30" t="str">
        <f t="shared" si="19"/>
        <v>A</v>
      </c>
      <c r="H39" s="30" t="str">
        <f t="shared" si="19"/>
        <v>A</v>
      </c>
      <c r="I39" s="30" t="str">
        <f t="shared" si="19"/>
        <v>A</v>
      </c>
      <c r="J39" s="30" t="str">
        <f t="shared" si="19"/>
        <v>A</v>
      </c>
      <c r="K39" s="30" t="str">
        <f t="shared" si="19"/>
        <v>B</v>
      </c>
      <c r="L39" s="30" t="str">
        <f t="shared" si="19"/>
        <v>A</v>
      </c>
      <c r="M39" s="30" t="str">
        <f t="shared" si="19"/>
        <v>A</v>
      </c>
      <c r="N39" s="30" t="str">
        <f t="shared" si="19"/>
        <v>A</v>
      </c>
      <c r="O39" s="30" t="str">
        <f t="shared" si="19"/>
        <v>A</v>
      </c>
      <c r="P39" s="30" t="str">
        <f t="shared" si="19"/>
        <v>A</v>
      </c>
      <c r="Q39" s="30" t="str">
        <f t="shared" si="19"/>
        <v>A</v>
      </c>
      <c r="R39" s="30" t="str">
        <f t="shared" si="19"/>
        <v>A</v>
      </c>
      <c r="S39" s="58"/>
    </row>
    <row r="40" spans="1:19" x14ac:dyDescent="0.25">
      <c r="A40" s="14">
        <v>19</v>
      </c>
      <c r="B40" s="17" t="s">
        <v>261</v>
      </c>
      <c r="C40" s="2" t="s">
        <v>667</v>
      </c>
      <c r="D40" s="4" t="s">
        <v>376</v>
      </c>
      <c r="E40" s="29">
        <v>80</v>
      </c>
      <c r="F40" s="29">
        <v>79</v>
      </c>
      <c r="G40" s="29">
        <v>90</v>
      </c>
      <c r="H40" s="29">
        <v>90</v>
      </c>
      <c r="I40" s="29">
        <v>83</v>
      </c>
      <c r="J40" s="29">
        <v>89</v>
      </c>
      <c r="K40" s="48">
        <v>79</v>
      </c>
      <c r="L40" s="48">
        <v>82</v>
      </c>
      <c r="M40" s="48">
        <v>82</v>
      </c>
      <c r="N40" s="48">
        <v>98</v>
      </c>
      <c r="O40" s="48">
        <v>99</v>
      </c>
      <c r="P40" s="48">
        <v>90</v>
      </c>
      <c r="Q40" s="48">
        <v>100</v>
      </c>
      <c r="R40" s="48">
        <v>98</v>
      </c>
      <c r="S40" s="58">
        <f t="shared" si="1"/>
        <v>88.5</v>
      </c>
    </row>
    <row r="41" spans="1:19" ht="15.75" x14ac:dyDescent="0.3">
      <c r="A41" s="14"/>
      <c r="B41" s="17"/>
      <c r="C41" s="2"/>
      <c r="D41" s="4"/>
      <c r="E41" s="30" t="str">
        <f t="shared" ref="E41:R41" si="20">IF(E40&gt;=90,"A",IF(E40&gt;=80,"B",IF(E40&gt;=70,"C",IF(E40&gt;=60,"D","F"))))</f>
        <v>B</v>
      </c>
      <c r="F41" s="30" t="str">
        <f t="shared" si="20"/>
        <v>C</v>
      </c>
      <c r="G41" s="30" t="str">
        <f t="shared" si="20"/>
        <v>A</v>
      </c>
      <c r="H41" s="30" t="str">
        <f t="shared" si="20"/>
        <v>A</v>
      </c>
      <c r="I41" s="30" t="str">
        <f t="shared" si="20"/>
        <v>B</v>
      </c>
      <c r="J41" s="30" t="str">
        <f t="shared" si="20"/>
        <v>B</v>
      </c>
      <c r="K41" s="30" t="str">
        <f t="shared" si="20"/>
        <v>C</v>
      </c>
      <c r="L41" s="30" t="str">
        <f t="shared" si="20"/>
        <v>B</v>
      </c>
      <c r="M41" s="30" t="str">
        <f t="shared" si="20"/>
        <v>B</v>
      </c>
      <c r="N41" s="30" t="str">
        <f t="shared" si="20"/>
        <v>A</v>
      </c>
      <c r="O41" s="30" t="str">
        <f t="shared" si="20"/>
        <v>A</v>
      </c>
      <c r="P41" s="30" t="str">
        <f t="shared" si="20"/>
        <v>A</v>
      </c>
      <c r="Q41" s="30" t="str">
        <f t="shared" si="20"/>
        <v>A</v>
      </c>
      <c r="R41" s="30" t="str">
        <f t="shared" si="20"/>
        <v>A</v>
      </c>
      <c r="S41" s="58"/>
    </row>
    <row r="42" spans="1:19" x14ac:dyDescent="0.25">
      <c r="A42" s="14">
        <v>20</v>
      </c>
      <c r="B42" s="17" t="s">
        <v>262</v>
      </c>
      <c r="C42" s="2" t="s">
        <v>668</v>
      </c>
      <c r="D42" s="4" t="s">
        <v>375</v>
      </c>
      <c r="E42" s="29">
        <v>93</v>
      </c>
      <c r="F42" s="29">
        <v>97</v>
      </c>
      <c r="G42" s="29">
        <v>99</v>
      </c>
      <c r="H42" s="29">
        <v>97</v>
      </c>
      <c r="I42" s="29">
        <v>97</v>
      </c>
      <c r="J42" s="29">
        <v>95</v>
      </c>
      <c r="K42" s="48">
        <v>88</v>
      </c>
      <c r="L42" s="48">
        <v>96</v>
      </c>
      <c r="M42" s="48">
        <v>95</v>
      </c>
      <c r="N42" s="48">
        <v>93</v>
      </c>
      <c r="O42" s="48">
        <v>99</v>
      </c>
      <c r="P42" s="48">
        <v>96</v>
      </c>
      <c r="Q42" s="48">
        <v>100</v>
      </c>
      <c r="R42" s="48">
        <v>97</v>
      </c>
      <c r="S42" s="58">
        <f t="shared" si="1"/>
        <v>95.857142857142861</v>
      </c>
    </row>
    <row r="43" spans="1:19" ht="15.75" x14ac:dyDescent="0.3">
      <c r="A43" s="14"/>
      <c r="B43" s="17"/>
      <c r="C43" s="2"/>
      <c r="D43" s="4"/>
      <c r="E43" s="30" t="str">
        <f t="shared" ref="E43:R43" si="21">IF(E42&gt;=90,"A",IF(E42&gt;=80,"B",IF(E42&gt;=70,"C",IF(E42&gt;=60,"D","F"))))</f>
        <v>A</v>
      </c>
      <c r="F43" s="30" t="str">
        <f t="shared" si="21"/>
        <v>A</v>
      </c>
      <c r="G43" s="30" t="str">
        <f t="shared" si="21"/>
        <v>A</v>
      </c>
      <c r="H43" s="30" t="str">
        <f t="shared" si="21"/>
        <v>A</v>
      </c>
      <c r="I43" s="30" t="str">
        <f t="shared" si="21"/>
        <v>A</v>
      </c>
      <c r="J43" s="30" t="str">
        <f t="shared" si="21"/>
        <v>A</v>
      </c>
      <c r="K43" s="30" t="str">
        <f t="shared" si="21"/>
        <v>B</v>
      </c>
      <c r="L43" s="30" t="str">
        <f t="shared" si="21"/>
        <v>A</v>
      </c>
      <c r="M43" s="30" t="str">
        <f t="shared" si="21"/>
        <v>A</v>
      </c>
      <c r="N43" s="30" t="str">
        <f t="shared" si="21"/>
        <v>A</v>
      </c>
      <c r="O43" s="30" t="str">
        <f t="shared" si="21"/>
        <v>A</v>
      </c>
      <c r="P43" s="30" t="str">
        <f t="shared" si="21"/>
        <v>A</v>
      </c>
      <c r="Q43" s="30" t="str">
        <f t="shared" si="21"/>
        <v>A</v>
      </c>
      <c r="R43" s="30" t="str">
        <f t="shared" si="21"/>
        <v>A</v>
      </c>
      <c r="S43" s="58"/>
    </row>
    <row r="44" spans="1:19" x14ac:dyDescent="0.25">
      <c r="A44" s="14">
        <v>21</v>
      </c>
      <c r="B44" s="17" t="s">
        <v>264</v>
      </c>
      <c r="C44" s="2" t="s">
        <v>669</v>
      </c>
      <c r="D44" s="4" t="s">
        <v>375</v>
      </c>
      <c r="E44" s="29">
        <v>86</v>
      </c>
      <c r="F44" s="29">
        <v>84</v>
      </c>
      <c r="G44" s="29">
        <v>90</v>
      </c>
      <c r="H44" s="29">
        <v>94</v>
      </c>
      <c r="I44" s="29">
        <v>95</v>
      </c>
      <c r="J44" s="29">
        <v>80</v>
      </c>
      <c r="K44" s="48">
        <v>81</v>
      </c>
      <c r="L44" s="48">
        <v>87</v>
      </c>
      <c r="M44" s="48">
        <v>91</v>
      </c>
      <c r="N44" s="48">
        <v>93</v>
      </c>
      <c r="O44" s="48">
        <v>97</v>
      </c>
      <c r="P44" s="48">
        <v>84</v>
      </c>
      <c r="Q44" s="48">
        <v>100</v>
      </c>
      <c r="R44" s="48">
        <v>96</v>
      </c>
      <c r="S44" s="58">
        <f t="shared" si="1"/>
        <v>89.857142857142861</v>
      </c>
    </row>
    <row r="45" spans="1:19" ht="15.75" x14ac:dyDescent="0.3">
      <c r="A45" s="25"/>
      <c r="B45" s="20"/>
      <c r="C45" s="20"/>
      <c r="D45" s="6"/>
      <c r="E45" s="30" t="str">
        <f t="shared" ref="E45:R45" si="22">IF(E44&gt;=90,"A",IF(E44&gt;=80,"B",IF(E44&gt;=70,"C",IF(E44&gt;=60,"D","F"))))</f>
        <v>B</v>
      </c>
      <c r="F45" s="30" t="str">
        <f t="shared" si="22"/>
        <v>B</v>
      </c>
      <c r="G45" s="30" t="str">
        <f t="shared" si="22"/>
        <v>A</v>
      </c>
      <c r="H45" s="30" t="str">
        <f t="shared" si="22"/>
        <v>A</v>
      </c>
      <c r="I45" s="30" t="str">
        <f t="shared" si="22"/>
        <v>A</v>
      </c>
      <c r="J45" s="30" t="str">
        <f t="shared" si="22"/>
        <v>B</v>
      </c>
      <c r="K45" s="30" t="str">
        <f t="shared" si="22"/>
        <v>B</v>
      </c>
      <c r="L45" s="30" t="str">
        <f t="shared" si="22"/>
        <v>B</v>
      </c>
      <c r="M45" s="30" t="str">
        <f t="shared" si="22"/>
        <v>A</v>
      </c>
      <c r="N45" s="30" t="str">
        <f t="shared" si="22"/>
        <v>A</v>
      </c>
      <c r="O45" s="30" t="str">
        <f t="shared" si="22"/>
        <v>A</v>
      </c>
      <c r="P45" s="30" t="str">
        <f t="shared" si="22"/>
        <v>B</v>
      </c>
      <c r="Q45" s="30" t="str">
        <f t="shared" si="22"/>
        <v>A</v>
      </c>
      <c r="R45" s="30" t="str">
        <f t="shared" si="22"/>
        <v>A</v>
      </c>
      <c r="S45" s="3"/>
    </row>
  </sheetData>
  <sheetProtection formatCells="0" formatColumns="0" formatRows="0" insertColumns="0" insertRows="0" insertHyperlinks="0" deleteColumns="0" deleteRows="0" sort="0" autoFilter="0" pivotTables="0"/>
  <autoFilter ref="A1:D34" xr:uid="{00000000-0009-0000-0000-000014000000}">
    <filterColumn colId="0" showButton="0"/>
  </autoFilter>
  <mergeCells count="1">
    <mergeCell ref="A1:B2"/>
  </mergeCells>
  <pageMargins left="0.23" right="0.17" top="0.28999999999999998" bottom="0" header="0.17" footer="0.3"/>
  <pageSetup paperSize="9" orientation="landscape" r:id="rId1"/>
  <headerFooter>
    <oddFooter xml:space="preserve">&amp;C
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45"/>
  <sheetViews>
    <sheetView zoomScale="85" zoomScaleNormal="85" workbookViewId="0">
      <selection activeCell="F1" sqref="F1"/>
    </sheetView>
  </sheetViews>
  <sheetFormatPr defaultRowHeight="15" x14ac:dyDescent="0.25"/>
  <cols>
    <col min="1" max="1" width="4.140625" style="13" customWidth="1"/>
    <col min="2" max="2" width="19.140625" style="28" customWidth="1"/>
    <col min="3" max="3" width="11.28515625" style="28" bestFit="1" customWidth="1"/>
    <col min="4" max="4" width="4.140625" style="7" customWidth="1"/>
    <col min="5" max="5" width="8.28515625" style="46" customWidth="1"/>
    <col min="6" max="6" width="8.42578125" style="46" customWidth="1"/>
    <col min="7" max="7" width="14" style="46" customWidth="1"/>
    <col min="8" max="8" width="16.28515625" style="46" bestFit="1" customWidth="1"/>
    <col min="9" max="9" width="14.28515625" style="46" bestFit="1" customWidth="1"/>
    <col min="10" max="10" width="16.140625" style="46" customWidth="1"/>
    <col min="11" max="11" width="14" style="46" customWidth="1"/>
    <col min="12" max="12" width="10.5703125" style="46" customWidth="1"/>
    <col min="13" max="13" width="11.140625" style="46" customWidth="1"/>
    <col min="14" max="14" width="13.28515625" style="46" customWidth="1"/>
    <col min="15" max="15" width="10.140625" style="46" customWidth="1"/>
    <col min="16" max="16" width="9" style="13" customWidth="1"/>
    <col min="17" max="17" width="8.85546875" style="13" customWidth="1"/>
    <col min="18" max="18" width="8.140625" style="13" customWidth="1"/>
    <col min="19" max="16384" width="9.140625" style="2"/>
  </cols>
  <sheetData>
    <row r="1" spans="1:19" ht="6" customHeight="1" x14ac:dyDescent="0.25">
      <c r="A1" s="85" t="s">
        <v>692</v>
      </c>
      <c r="B1" s="86"/>
      <c r="C1" s="80"/>
    </row>
    <row r="2" spans="1:19" ht="10.5" customHeight="1" x14ac:dyDescent="0.25">
      <c r="A2" s="87"/>
      <c r="B2" s="88"/>
      <c r="C2" s="80"/>
    </row>
    <row r="3" spans="1:19" s="66" customFormat="1" ht="25.5" customHeight="1" x14ac:dyDescent="0.25">
      <c r="A3" s="40" t="s">
        <v>452</v>
      </c>
      <c r="B3" s="41" t="s">
        <v>1</v>
      </c>
      <c r="C3" s="41"/>
      <c r="D3" s="43" t="s">
        <v>2</v>
      </c>
      <c r="E3" s="43" t="s">
        <v>426</v>
      </c>
      <c r="F3" s="43" t="s">
        <v>427</v>
      </c>
      <c r="G3" s="43" t="s">
        <v>830</v>
      </c>
      <c r="H3" s="43" t="s">
        <v>435</v>
      </c>
      <c r="I3" s="43" t="s">
        <v>453</v>
      </c>
      <c r="J3" s="43" t="s">
        <v>436</v>
      </c>
      <c r="K3" s="43" t="s">
        <v>827</v>
      </c>
      <c r="L3" s="43" t="s">
        <v>437</v>
      </c>
      <c r="M3" s="43" t="s">
        <v>431</v>
      </c>
      <c r="N3" s="43" t="s">
        <v>442</v>
      </c>
      <c r="O3" s="43" t="s">
        <v>445</v>
      </c>
      <c r="P3" s="47" t="s">
        <v>424</v>
      </c>
      <c r="Q3" s="47" t="s">
        <v>425</v>
      </c>
      <c r="R3" s="47" t="s">
        <v>438</v>
      </c>
      <c r="S3" s="47" t="s">
        <v>428</v>
      </c>
    </row>
    <row r="4" spans="1:19" s="5" customFormat="1" ht="13.5" customHeight="1" x14ac:dyDescent="0.25">
      <c r="A4" s="14">
        <v>1</v>
      </c>
      <c r="B4" s="17" t="s">
        <v>249</v>
      </c>
      <c r="C4" s="2" t="s">
        <v>671</v>
      </c>
      <c r="D4" s="4" t="s">
        <v>375</v>
      </c>
      <c r="E4" s="48">
        <v>94</v>
      </c>
      <c r="F4" s="62">
        <v>0</v>
      </c>
      <c r="G4" s="48">
        <v>85</v>
      </c>
      <c r="H4" s="62">
        <v>0</v>
      </c>
      <c r="I4" s="48">
        <v>92</v>
      </c>
      <c r="J4" s="62">
        <v>0</v>
      </c>
      <c r="K4" s="48">
        <v>91</v>
      </c>
      <c r="L4" s="62">
        <v>0</v>
      </c>
      <c r="M4" s="48">
        <v>97</v>
      </c>
      <c r="N4" s="48">
        <v>98</v>
      </c>
      <c r="O4" s="62">
        <v>0</v>
      </c>
      <c r="P4" s="48">
        <v>94</v>
      </c>
      <c r="Q4" s="48">
        <v>100</v>
      </c>
      <c r="R4" s="48">
        <v>86</v>
      </c>
      <c r="S4" s="58">
        <f>AVERAGE(E4,G4,I4,K4,N4,P4,Q4,R4)</f>
        <v>92.5</v>
      </c>
    </row>
    <row r="5" spans="1:19" s="5" customFormat="1" ht="13.5" customHeight="1" x14ac:dyDescent="0.3">
      <c r="A5" s="14"/>
      <c r="B5" s="17"/>
      <c r="C5" s="2"/>
      <c r="D5" s="4"/>
      <c r="E5" s="30" t="str">
        <f>IF(E4&gt;=90,"A",IF(E4&gt;=80,"B",IF(E4&gt;=70,"C",IF(E4&gt;=60,"D","F"))))</f>
        <v>A</v>
      </c>
      <c r="F5" s="62"/>
      <c r="G5" s="30" t="str">
        <f>IF(G4&gt;=90,"A",IF(G4&gt;=80,"B",IF(G4&gt;=70,"C",IF(G4&gt;=60,"D","F"))))</f>
        <v>B</v>
      </c>
      <c r="H5" s="62"/>
      <c r="I5" s="30" t="str">
        <f>IF(I4&gt;=90,"A",IF(I4&gt;=80,"B",IF(I4&gt;=70,"C",IF(I4&gt;=60,"D","F"))))</f>
        <v>A</v>
      </c>
      <c r="J5" s="62"/>
      <c r="K5" s="30" t="str">
        <f>IF(K4&gt;=90,"A",IF(K4&gt;=80,"B",IF(K4&gt;=70,"C",IF(K4&gt;=60,"D","F"))))</f>
        <v>A</v>
      </c>
      <c r="L5" s="62"/>
      <c r="M5" s="30" t="str">
        <f>IF(M4&gt;=90,"A",IF(M4&gt;=80,"B",IF(M4&gt;=70,"C",IF(M4&gt;=60,"D","F"))))</f>
        <v>A</v>
      </c>
      <c r="N5" s="30" t="str">
        <f>IF(N4&gt;=90,"A",IF(N4&gt;=80,"B",IF(N4&gt;=70,"C",IF(N4&gt;=60,"D","F"))))</f>
        <v>A</v>
      </c>
      <c r="O5" s="62"/>
      <c r="P5" s="30" t="str">
        <f t="shared" ref="P5:S5" si="0">IF(P4&gt;=90,"A",IF(P4&gt;=80,"B",IF(P4&gt;=70,"C",IF(P4&gt;=60,"D","F"))))</f>
        <v>A</v>
      </c>
      <c r="Q5" s="30" t="str">
        <f t="shared" si="0"/>
        <v>A</v>
      </c>
      <c r="R5" s="30" t="str">
        <f t="shared" si="0"/>
        <v>B</v>
      </c>
      <c r="S5" s="30" t="str">
        <f t="shared" si="0"/>
        <v>A</v>
      </c>
    </row>
    <row r="6" spans="1:19" s="5" customFormat="1" ht="13.5" customHeight="1" x14ac:dyDescent="0.25">
      <c r="A6" s="14">
        <v>2</v>
      </c>
      <c r="B6" s="16" t="s">
        <v>266</v>
      </c>
      <c r="C6" s="2" t="s">
        <v>672</v>
      </c>
      <c r="D6" s="22" t="s">
        <v>375</v>
      </c>
      <c r="E6" s="48">
        <v>60</v>
      </c>
      <c r="F6" s="48">
        <v>75</v>
      </c>
      <c r="G6" s="48">
        <v>80</v>
      </c>
      <c r="H6" s="48">
        <v>80</v>
      </c>
      <c r="I6" s="48">
        <v>76</v>
      </c>
      <c r="J6" s="48">
        <v>80</v>
      </c>
      <c r="K6" s="48">
        <v>64</v>
      </c>
      <c r="L6" s="48">
        <v>81</v>
      </c>
      <c r="M6" s="48">
        <v>91</v>
      </c>
      <c r="N6" s="48">
        <v>88</v>
      </c>
      <c r="O6" s="48">
        <v>99</v>
      </c>
      <c r="P6" s="48">
        <v>98</v>
      </c>
      <c r="Q6" s="48">
        <v>95</v>
      </c>
      <c r="R6" s="48">
        <v>97</v>
      </c>
      <c r="S6" s="58">
        <f>AVERAGE(E6:R6)</f>
        <v>83.142857142857139</v>
      </c>
    </row>
    <row r="7" spans="1:19" s="5" customFormat="1" ht="13.5" customHeight="1" x14ac:dyDescent="0.3">
      <c r="A7" s="14"/>
      <c r="B7" s="16"/>
      <c r="C7" s="2"/>
      <c r="D7" s="22"/>
      <c r="E7" s="30" t="str">
        <f t="shared" ref="E7:R7" si="1">IF(E6&gt;=90,"A",IF(E6&gt;=80,"B",IF(E6&gt;=70,"C",IF(E6&gt;=60,"D","F"))))</f>
        <v>D</v>
      </c>
      <c r="F7" s="30" t="str">
        <f t="shared" si="1"/>
        <v>C</v>
      </c>
      <c r="G7" s="30" t="str">
        <f t="shared" si="1"/>
        <v>B</v>
      </c>
      <c r="H7" s="30" t="str">
        <f t="shared" si="1"/>
        <v>B</v>
      </c>
      <c r="I7" s="30" t="str">
        <f t="shared" si="1"/>
        <v>C</v>
      </c>
      <c r="J7" s="30" t="str">
        <f t="shared" si="1"/>
        <v>B</v>
      </c>
      <c r="K7" s="30" t="str">
        <f t="shared" si="1"/>
        <v>D</v>
      </c>
      <c r="L7" s="30" t="str">
        <f t="shared" si="1"/>
        <v>B</v>
      </c>
      <c r="M7" s="30" t="str">
        <f t="shared" si="1"/>
        <v>A</v>
      </c>
      <c r="N7" s="30" t="str">
        <f t="shared" si="1"/>
        <v>B</v>
      </c>
      <c r="O7" s="30" t="str">
        <f t="shared" si="1"/>
        <v>A</v>
      </c>
      <c r="P7" s="30" t="str">
        <f t="shared" si="1"/>
        <v>A</v>
      </c>
      <c r="Q7" s="30" t="str">
        <f t="shared" si="1"/>
        <v>A</v>
      </c>
      <c r="R7" s="30" t="str">
        <f t="shared" si="1"/>
        <v>A</v>
      </c>
      <c r="S7" s="58"/>
    </row>
    <row r="8" spans="1:19" s="5" customFormat="1" ht="13.5" customHeight="1" x14ac:dyDescent="0.25">
      <c r="A8" s="14">
        <v>3</v>
      </c>
      <c r="B8" s="16" t="s">
        <v>267</v>
      </c>
      <c r="C8" s="2" t="s">
        <v>673</v>
      </c>
      <c r="D8" s="22" t="s">
        <v>376</v>
      </c>
      <c r="E8" s="48">
        <v>91</v>
      </c>
      <c r="F8" s="48">
        <v>95</v>
      </c>
      <c r="G8" s="48">
        <v>80</v>
      </c>
      <c r="H8" s="48">
        <v>70</v>
      </c>
      <c r="I8" s="48">
        <v>94</v>
      </c>
      <c r="J8" s="48">
        <v>85</v>
      </c>
      <c r="K8" s="48">
        <v>76</v>
      </c>
      <c r="L8" s="48">
        <v>90</v>
      </c>
      <c r="M8" s="48">
        <v>95</v>
      </c>
      <c r="N8" s="48">
        <v>100</v>
      </c>
      <c r="O8" s="48">
        <v>98</v>
      </c>
      <c r="P8" s="48">
        <v>94</v>
      </c>
      <c r="Q8" s="48">
        <v>100</v>
      </c>
      <c r="R8" s="48">
        <v>89</v>
      </c>
      <c r="S8" s="58">
        <f t="shared" ref="S8:S16" si="2">AVERAGE(E8:R8)</f>
        <v>89.785714285714292</v>
      </c>
    </row>
    <row r="9" spans="1:19" s="5" customFormat="1" ht="13.5" customHeight="1" x14ac:dyDescent="0.3">
      <c r="A9" s="14"/>
      <c r="B9" s="16"/>
      <c r="C9" s="2"/>
      <c r="D9" s="22"/>
      <c r="E9" s="30" t="str">
        <f t="shared" ref="E9:R9" si="3">IF(E8&gt;=90,"A",IF(E8&gt;=80,"B",IF(E8&gt;=70,"C",IF(E8&gt;=60,"D","F"))))</f>
        <v>A</v>
      </c>
      <c r="F9" s="30" t="str">
        <f t="shared" si="3"/>
        <v>A</v>
      </c>
      <c r="G9" s="30" t="str">
        <f t="shared" si="3"/>
        <v>B</v>
      </c>
      <c r="H9" s="30" t="str">
        <f t="shared" si="3"/>
        <v>C</v>
      </c>
      <c r="I9" s="30" t="str">
        <f t="shared" si="3"/>
        <v>A</v>
      </c>
      <c r="J9" s="30" t="str">
        <f t="shared" si="3"/>
        <v>B</v>
      </c>
      <c r="K9" s="30" t="str">
        <f t="shared" si="3"/>
        <v>C</v>
      </c>
      <c r="L9" s="30" t="str">
        <f t="shared" si="3"/>
        <v>A</v>
      </c>
      <c r="M9" s="30" t="str">
        <f t="shared" si="3"/>
        <v>A</v>
      </c>
      <c r="N9" s="30" t="str">
        <f t="shared" si="3"/>
        <v>A</v>
      </c>
      <c r="O9" s="30" t="str">
        <f t="shared" si="3"/>
        <v>A</v>
      </c>
      <c r="P9" s="30" t="str">
        <f t="shared" si="3"/>
        <v>A</v>
      </c>
      <c r="Q9" s="30" t="str">
        <f t="shared" si="3"/>
        <v>A</v>
      </c>
      <c r="R9" s="30" t="str">
        <f t="shared" si="3"/>
        <v>B</v>
      </c>
      <c r="S9" s="58"/>
    </row>
    <row r="10" spans="1:19" s="5" customFormat="1" ht="13.5" customHeight="1" x14ac:dyDescent="0.25">
      <c r="A10" s="14">
        <v>4</v>
      </c>
      <c r="B10" s="16" t="s">
        <v>268</v>
      </c>
      <c r="C10" s="2" t="s">
        <v>674</v>
      </c>
      <c r="D10" s="22" t="s">
        <v>375</v>
      </c>
      <c r="E10" s="48">
        <v>74</v>
      </c>
      <c r="F10" s="48">
        <v>94</v>
      </c>
      <c r="G10" s="48">
        <v>86</v>
      </c>
      <c r="H10" s="48">
        <v>70</v>
      </c>
      <c r="I10" s="48">
        <v>90</v>
      </c>
      <c r="J10" s="48">
        <v>70</v>
      </c>
      <c r="K10" s="48">
        <v>60</v>
      </c>
      <c r="L10" s="48">
        <v>71</v>
      </c>
      <c r="M10" s="48">
        <v>91</v>
      </c>
      <c r="N10" s="48">
        <v>100</v>
      </c>
      <c r="O10" s="48">
        <v>100</v>
      </c>
      <c r="P10" s="48">
        <v>82</v>
      </c>
      <c r="Q10" s="48">
        <v>95</v>
      </c>
      <c r="R10" s="48">
        <v>97</v>
      </c>
      <c r="S10" s="58">
        <f t="shared" si="2"/>
        <v>84.285714285714292</v>
      </c>
    </row>
    <row r="11" spans="1:19" s="5" customFormat="1" ht="13.5" customHeight="1" x14ac:dyDescent="0.3">
      <c r="A11" s="14"/>
      <c r="B11" s="16"/>
      <c r="C11" s="2"/>
      <c r="D11" s="22"/>
      <c r="E11" s="30" t="str">
        <f t="shared" ref="E11:R11" si="4">IF(E10&gt;=90,"A",IF(E10&gt;=80,"B",IF(E10&gt;=70,"C",IF(E10&gt;=60,"D","F"))))</f>
        <v>C</v>
      </c>
      <c r="F11" s="30" t="str">
        <f t="shared" si="4"/>
        <v>A</v>
      </c>
      <c r="G11" s="30" t="str">
        <f t="shared" si="4"/>
        <v>B</v>
      </c>
      <c r="H11" s="30" t="str">
        <f t="shared" si="4"/>
        <v>C</v>
      </c>
      <c r="I11" s="30" t="str">
        <f t="shared" si="4"/>
        <v>A</v>
      </c>
      <c r="J11" s="30" t="str">
        <f t="shared" si="4"/>
        <v>C</v>
      </c>
      <c r="K11" s="30" t="str">
        <f t="shared" si="4"/>
        <v>D</v>
      </c>
      <c r="L11" s="30" t="str">
        <f t="shared" si="4"/>
        <v>C</v>
      </c>
      <c r="M11" s="30" t="str">
        <f t="shared" si="4"/>
        <v>A</v>
      </c>
      <c r="N11" s="30" t="str">
        <f t="shared" si="4"/>
        <v>A</v>
      </c>
      <c r="O11" s="30" t="str">
        <f t="shared" si="4"/>
        <v>A</v>
      </c>
      <c r="P11" s="30" t="str">
        <f t="shared" si="4"/>
        <v>B</v>
      </c>
      <c r="Q11" s="30" t="str">
        <f t="shared" si="4"/>
        <v>A</v>
      </c>
      <c r="R11" s="30" t="str">
        <f t="shared" si="4"/>
        <v>A</v>
      </c>
      <c r="S11" s="58"/>
    </row>
    <row r="12" spans="1:19" s="5" customFormat="1" ht="13.5" customHeight="1" x14ac:dyDescent="0.25">
      <c r="A12" s="14">
        <v>5</v>
      </c>
      <c r="B12" s="16" t="s">
        <v>269</v>
      </c>
      <c r="C12" s="2" t="s">
        <v>675</v>
      </c>
      <c r="D12" s="22" t="s">
        <v>375</v>
      </c>
      <c r="E12" s="48">
        <v>64</v>
      </c>
      <c r="F12" s="48">
        <v>74</v>
      </c>
      <c r="G12" s="48">
        <v>75</v>
      </c>
      <c r="H12" s="48">
        <v>72</v>
      </c>
      <c r="I12" s="48">
        <v>80</v>
      </c>
      <c r="J12" s="48">
        <v>70</v>
      </c>
      <c r="K12" s="48">
        <v>60</v>
      </c>
      <c r="L12" s="48">
        <v>70</v>
      </c>
      <c r="M12" s="48">
        <v>84</v>
      </c>
      <c r="N12" s="48">
        <v>97</v>
      </c>
      <c r="O12" s="48">
        <v>95</v>
      </c>
      <c r="P12" s="48">
        <v>81</v>
      </c>
      <c r="Q12" s="48">
        <v>100</v>
      </c>
      <c r="R12" s="48">
        <v>93</v>
      </c>
      <c r="S12" s="58">
        <f t="shared" si="2"/>
        <v>79.642857142857139</v>
      </c>
    </row>
    <row r="13" spans="1:19" s="5" customFormat="1" ht="13.5" customHeight="1" x14ac:dyDescent="0.3">
      <c r="A13" s="14"/>
      <c r="B13" s="16"/>
      <c r="C13" s="2"/>
      <c r="D13" s="22"/>
      <c r="E13" s="30" t="str">
        <f t="shared" ref="E13:R13" si="5">IF(E12&gt;=90,"A",IF(E12&gt;=80,"B",IF(E12&gt;=70,"C",IF(E12&gt;=60,"D","F"))))</f>
        <v>D</v>
      </c>
      <c r="F13" s="30" t="str">
        <f t="shared" si="5"/>
        <v>C</v>
      </c>
      <c r="G13" s="30" t="str">
        <f t="shared" si="5"/>
        <v>C</v>
      </c>
      <c r="H13" s="30" t="str">
        <f t="shared" si="5"/>
        <v>C</v>
      </c>
      <c r="I13" s="30" t="str">
        <f t="shared" si="5"/>
        <v>B</v>
      </c>
      <c r="J13" s="30" t="str">
        <f t="shared" si="5"/>
        <v>C</v>
      </c>
      <c r="K13" s="30" t="str">
        <f t="shared" si="5"/>
        <v>D</v>
      </c>
      <c r="L13" s="30" t="str">
        <f t="shared" si="5"/>
        <v>C</v>
      </c>
      <c r="M13" s="30" t="str">
        <f t="shared" si="5"/>
        <v>B</v>
      </c>
      <c r="N13" s="30" t="str">
        <f t="shared" si="5"/>
        <v>A</v>
      </c>
      <c r="O13" s="30" t="str">
        <f t="shared" si="5"/>
        <v>A</v>
      </c>
      <c r="P13" s="30" t="str">
        <f t="shared" si="5"/>
        <v>B</v>
      </c>
      <c r="Q13" s="30" t="str">
        <f t="shared" si="5"/>
        <v>A</v>
      </c>
      <c r="R13" s="30" t="str">
        <f t="shared" si="5"/>
        <v>A</v>
      </c>
      <c r="S13" s="58"/>
    </row>
    <row r="14" spans="1:19" s="5" customFormat="1" ht="13.5" customHeight="1" x14ac:dyDescent="0.25">
      <c r="A14" s="14">
        <v>6</v>
      </c>
      <c r="B14" s="16" t="s">
        <v>270</v>
      </c>
      <c r="C14" s="2" t="s">
        <v>676</v>
      </c>
      <c r="D14" s="22" t="s">
        <v>376</v>
      </c>
      <c r="E14" s="48">
        <v>91</v>
      </c>
      <c r="F14" s="48">
        <v>84</v>
      </c>
      <c r="G14" s="48">
        <v>80</v>
      </c>
      <c r="H14" s="48">
        <v>76</v>
      </c>
      <c r="I14" s="48">
        <v>98</v>
      </c>
      <c r="J14" s="48">
        <v>80</v>
      </c>
      <c r="K14" s="48">
        <v>70</v>
      </c>
      <c r="L14" s="48">
        <v>81</v>
      </c>
      <c r="M14" s="48">
        <v>93</v>
      </c>
      <c r="N14" s="48">
        <v>98</v>
      </c>
      <c r="O14" s="48">
        <v>99</v>
      </c>
      <c r="P14" s="48">
        <v>91</v>
      </c>
      <c r="Q14" s="48">
        <v>95</v>
      </c>
      <c r="R14" s="48">
        <v>100</v>
      </c>
      <c r="S14" s="58">
        <f t="shared" si="2"/>
        <v>88.285714285714292</v>
      </c>
    </row>
    <row r="15" spans="1:19" s="5" customFormat="1" ht="13.5" customHeight="1" x14ac:dyDescent="0.3">
      <c r="A15" s="14"/>
      <c r="B15" s="16"/>
      <c r="C15" s="2"/>
      <c r="D15" s="22"/>
      <c r="E15" s="30" t="str">
        <f t="shared" ref="E15:R15" si="6">IF(E14&gt;=90,"A",IF(E14&gt;=80,"B",IF(E14&gt;=70,"C",IF(E14&gt;=60,"D","F"))))</f>
        <v>A</v>
      </c>
      <c r="F15" s="30" t="str">
        <f t="shared" si="6"/>
        <v>B</v>
      </c>
      <c r="G15" s="30" t="str">
        <f t="shared" si="6"/>
        <v>B</v>
      </c>
      <c r="H15" s="30" t="str">
        <f t="shared" si="6"/>
        <v>C</v>
      </c>
      <c r="I15" s="30" t="str">
        <f t="shared" si="6"/>
        <v>A</v>
      </c>
      <c r="J15" s="30" t="str">
        <f t="shared" si="6"/>
        <v>B</v>
      </c>
      <c r="K15" s="30" t="str">
        <f t="shared" si="6"/>
        <v>C</v>
      </c>
      <c r="L15" s="30" t="str">
        <f t="shared" si="6"/>
        <v>B</v>
      </c>
      <c r="M15" s="30" t="str">
        <f t="shared" si="6"/>
        <v>A</v>
      </c>
      <c r="N15" s="30" t="str">
        <f t="shared" si="6"/>
        <v>A</v>
      </c>
      <c r="O15" s="30" t="str">
        <f t="shared" si="6"/>
        <v>A</v>
      </c>
      <c r="P15" s="30" t="str">
        <f t="shared" si="6"/>
        <v>A</v>
      </c>
      <c r="Q15" s="30" t="str">
        <f t="shared" si="6"/>
        <v>A</v>
      </c>
      <c r="R15" s="30" t="str">
        <f t="shared" si="6"/>
        <v>A</v>
      </c>
      <c r="S15" s="58"/>
    </row>
    <row r="16" spans="1:19" s="5" customFormat="1" ht="13.5" customHeight="1" x14ac:dyDescent="0.25">
      <c r="A16" s="14">
        <v>7</v>
      </c>
      <c r="B16" s="16" t="s">
        <v>271</v>
      </c>
      <c r="C16" s="2" t="s">
        <v>677</v>
      </c>
      <c r="D16" s="22" t="s">
        <v>376</v>
      </c>
      <c r="E16" s="48">
        <v>94</v>
      </c>
      <c r="F16" s="48">
        <v>92</v>
      </c>
      <c r="G16" s="48">
        <v>81</v>
      </c>
      <c r="H16" s="48">
        <v>62</v>
      </c>
      <c r="I16" s="48">
        <v>91</v>
      </c>
      <c r="J16" s="48">
        <v>88</v>
      </c>
      <c r="K16" s="48">
        <v>78</v>
      </c>
      <c r="L16" s="48">
        <v>91</v>
      </c>
      <c r="M16" s="48">
        <v>91</v>
      </c>
      <c r="N16" s="48">
        <v>98</v>
      </c>
      <c r="O16" s="48">
        <v>100</v>
      </c>
      <c r="P16" s="48">
        <v>98</v>
      </c>
      <c r="Q16" s="48">
        <v>100</v>
      </c>
      <c r="R16" s="48">
        <v>100</v>
      </c>
      <c r="S16" s="58">
        <f t="shared" si="2"/>
        <v>90.285714285714292</v>
      </c>
    </row>
    <row r="17" spans="1:19" s="5" customFormat="1" ht="13.5" customHeight="1" x14ac:dyDescent="0.3">
      <c r="A17" s="14"/>
      <c r="B17" s="16"/>
      <c r="C17" s="2"/>
      <c r="D17" s="22"/>
      <c r="E17" s="30" t="str">
        <f t="shared" ref="E17:R17" si="7">IF(E16&gt;=90,"A",IF(E16&gt;=80,"B",IF(E16&gt;=70,"C",IF(E16&gt;=60,"D","F"))))</f>
        <v>A</v>
      </c>
      <c r="F17" s="30" t="str">
        <f t="shared" si="7"/>
        <v>A</v>
      </c>
      <c r="G17" s="30" t="str">
        <f t="shared" si="7"/>
        <v>B</v>
      </c>
      <c r="H17" s="30" t="str">
        <f t="shared" si="7"/>
        <v>D</v>
      </c>
      <c r="I17" s="30" t="str">
        <f t="shared" si="7"/>
        <v>A</v>
      </c>
      <c r="J17" s="30" t="str">
        <f t="shared" si="7"/>
        <v>B</v>
      </c>
      <c r="K17" s="30" t="str">
        <f t="shared" si="7"/>
        <v>C</v>
      </c>
      <c r="L17" s="30" t="str">
        <f t="shared" si="7"/>
        <v>A</v>
      </c>
      <c r="M17" s="30" t="str">
        <f t="shared" si="7"/>
        <v>A</v>
      </c>
      <c r="N17" s="30" t="str">
        <f t="shared" si="7"/>
        <v>A</v>
      </c>
      <c r="O17" s="30" t="str">
        <f t="shared" si="7"/>
        <v>A</v>
      </c>
      <c r="P17" s="30" t="str">
        <f t="shared" si="7"/>
        <v>A</v>
      </c>
      <c r="Q17" s="30" t="str">
        <f t="shared" si="7"/>
        <v>A</v>
      </c>
      <c r="R17" s="30" t="str">
        <f t="shared" si="7"/>
        <v>A</v>
      </c>
      <c r="S17" s="58"/>
    </row>
    <row r="18" spans="1:19" s="5" customFormat="1" ht="13.5" customHeight="1" x14ac:dyDescent="0.25">
      <c r="A18" s="14">
        <v>8</v>
      </c>
      <c r="B18" s="16" t="s">
        <v>272</v>
      </c>
      <c r="C18" s="2" t="s">
        <v>678</v>
      </c>
      <c r="D18" s="22" t="s">
        <v>376</v>
      </c>
      <c r="E18" s="48">
        <v>91</v>
      </c>
      <c r="F18" s="62">
        <v>0</v>
      </c>
      <c r="G18" s="48">
        <v>87</v>
      </c>
      <c r="H18" s="62">
        <v>0</v>
      </c>
      <c r="I18" s="48">
        <v>97</v>
      </c>
      <c r="J18" s="62">
        <v>0</v>
      </c>
      <c r="K18" s="48">
        <v>98</v>
      </c>
      <c r="L18" s="62">
        <v>0</v>
      </c>
      <c r="M18" s="48">
        <v>96</v>
      </c>
      <c r="N18" s="48">
        <v>98</v>
      </c>
      <c r="O18" s="48">
        <v>100</v>
      </c>
      <c r="P18" s="48">
        <v>96</v>
      </c>
      <c r="Q18" s="48">
        <v>100</v>
      </c>
      <c r="R18" s="48">
        <v>98</v>
      </c>
      <c r="S18" s="58">
        <f>AVERAGE(E18,G18,I18,K18,M18:R18)</f>
        <v>96.1</v>
      </c>
    </row>
    <row r="19" spans="1:19" s="5" customFormat="1" ht="13.5" customHeight="1" x14ac:dyDescent="0.3">
      <c r="A19" s="14"/>
      <c r="B19" s="16"/>
      <c r="C19" s="2"/>
      <c r="D19" s="22"/>
      <c r="E19" s="30" t="str">
        <f>IF(E18&gt;=90,"A",IF(E18&gt;=80,"B",IF(E18&gt;=70,"C",IF(E18&gt;=60,"D","F"))))</f>
        <v>A</v>
      </c>
      <c r="F19" s="62"/>
      <c r="G19" s="30" t="str">
        <f>IF(G18&gt;=90,"A",IF(G18&gt;=80,"B",IF(G18&gt;=70,"C",IF(G18&gt;=60,"D","F"))))</f>
        <v>B</v>
      </c>
      <c r="H19" s="62"/>
      <c r="I19" s="30" t="str">
        <f>IF(I18&gt;=90,"A",IF(I18&gt;=80,"B",IF(I18&gt;=70,"C",IF(I18&gt;=60,"D","F"))))</f>
        <v>A</v>
      </c>
      <c r="J19" s="62"/>
      <c r="K19" s="30" t="str">
        <f>IF(K18&gt;=90,"A",IF(K18&gt;=80,"B",IF(K18&gt;=70,"C",IF(K18&gt;=60,"D","F"))))</f>
        <v>A</v>
      </c>
      <c r="L19" s="67"/>
      <c r="M19" s="30" t="str">
        <f t="shared" ref="M19:R19" si="8">IF(M18&gt;=90,"A",IF(M18&gt;=80,"B",IF(M18&gt;=70,"C",IF(M18&gt;=60,"D","F"))))</f>
        <v>A</v>
      </c>
      <c r="N19" s="30" t="str">
        <f t="shared" si="8"/>
        <v>A</v>
      </c>
      <c r="O19" s="30" t="str">
        <f t="shared" si="8"/>
        <v>A</v>
      </c>
      <c r="P19" s="30" t="str">
        <f t="shared" si="8"/>
        <v>A</v>
      </c>
      <c r="Q19" s="30" t="str">
        <f t="shared" si="8"/>
        <v>A</v>
      </c>
      <c r="R19" s="30" t="str">
        <f t="shared" si="8"/>
        <v>A</v>
      </c>
      <c r="S19" s="58"/>
    </row>
    <row r="20" spans="1:19" s="5" customFormat="1" ht="13.5" customHeight="1" x14ac:dyDescent="0.25">
      <c r="A20" s="14">
        <v>9</v>
      </c>
      <c r="B20" s="15" t="s">
        <v>406</v>
      </c>
      <c r="C20" s="2" t="s">
        <v>679</v>
      </c>
      <c r="D20" s="14" t="s">
        <v>375</v>
      </c>
      <c r="E20" s="48">
        <v>74</v>
      </c>
      <c r="F20" s="62">
        <v>0</v>
      </c>
      <c r="G20" s="48">
        <v>95</v>
      </c>
      <c r="H20" s="62">
        <v>0</v>
      </c>
      <c r="I20" s="48">
        <v>89</v>
      </c>
      <c r="J20" s="62">
        <v>0</v>
      </c>
      <c r="K20" s="48">
        <v>90</v>
      </c>
      <c r="L20" s="62">
        <v>0</v>
      </c>
      <c r="M20" s="48">
        <v>81</v>
      </c>
      <c r="N20" s="48">
        <v>93</v>
      </c>
      <c r="O20" s="48">
        <v>100</v>
      </c>
      <c r="P20" s="48">
        <v>82</v>
      </c>
      <c r="Q20" s="48">
        <v>95</v>
      </c>
      <c r="R20" s="48">
        <v>89</v>
      </c>
      <c r="S20" s="58">
        <f>AVERAGE(E20,G20,I20,K20,M20:R20)</f>
        <v>88.8</v>
      </c>
    </row>
    <row r="21" spans="1:19" s="5" customFormat="1" ht="13.5" customHeight="1" x14ac:dyDescent="0.3">
      <c r="A21" s="14"/>
      <c r="B21" s="15"/>
      <c r="C21" s="2"/>
      <c r="D21" s="14"/>
      <c r="E21" s="30" t="str">
        <f>IF(E20&gt;=90,"A",IF(E20&gt;=80,"B",IF(E20&gt;=70,"C",IF(E20&gt;=60,"D","F"))))</f>
        <v>C</v>
      </c>
      <c r="F21" s="67"/>
      <c r="G21" s="30" t="str">
        <f>IF(G20&gt;=90,"A",IF(G20&gt;=80,"B",IF(G20&gt;=70,"C",IF(G20&gt;=60,"D","F"))))</f>
        <v>A</v>
      </c>
      <c r="H21" s="62"/>
      <c r="I21" s="30" t="str">
        <f>IF(I20&gt;=90,"A",IF(I20&gt;=80,"B",IF(I20&gt;=70,"C",IF(I20&gt;=60,"D","F"))))</f>
        <v>B</v>
      </c>
      <c r="J21" s="62"/>
      <c r="K21" s="30" t="str">
        <f>IF(K20&gt;=90,"A",IF(K20&gt;=80,"B",IF(K20&gt;=70,"C",IF(K20&gt;=60,"D","F"))))</f>
        <v>A</v>
      </c>
      <c r="L21" s="65"/>
      <c r="M21" s="30" t="str">
        <f t="shared" ref="M21:R21" si="9">IF(M20&gt;=90,"A",IF(M20&gt;=80,"B",IF(M20&gt;=70,"C",IF(M20&gt;=60,"D","F"))))</f>
        <v>B</v>
      </c>
      <c r="N21" s="30" t="str">
        <f t="shared" si="9"/>
        <v>A</v>
      </c>
      <c r="O21" s="30" t="str">
        <f t="shared" si="9"/>
        <v>A</v>
      </c>
      <c r="P21" s="30" t="str">
        <f t="shared" si="9"/>
        <v>B</v>
      </c>
      <c r="Q21" s="30" t="str">
        <f t="shared" si="9"/>
        <v>A</v>
      </c>
      <c r="R21" s="30" t="str">
        <f t="shared" si="9"/>
        <v>B</v>
      </c>
      <c r="S21" s="58"/>
    </row>
    <row r="22" spans="1:19" s="5" customFormat="1" ht="13.5" customHeight="1" x14ac:dyDescent="0.25">
      <c r="A22" s="14">
        <v>10</v>
      </c>
      <c r="B22" s="16" t="s">
        <v>273</v>
      </c>
      <c r="C22" s="2" t="s">
        <v>680</v>
      </c>
      <c r="D22" s="22" t="s">
        <v>375</v>
      </c>
      <c r="E22" s="22">
        <v>90</v>
      </c>
      <c r="F22" s="38">
        <v>97</v>
      </c>
      <c r="G22" s="48">
        <v>88</v>
      </c>
      <c r="H22" s="48">
        <v>95</v>
      </c>
      <c r="I22" s="48">
        <v>97</v>
      </c>
      <c r="J22" s="48">
        <v>94</v>
      </c>
      <c r="K22" s="48">
        <v>86</v>
      </c>
      <c r="L22" s="48">
        <v>96</v>
      </c>
      <c r="M22" s="48">
        <v>95</v>
      </c>
      <c r="N22" s="48">
        <v>100</v>
      </c>
      <c r="O22" s="48">
        <v>100</v>
      </c>
      <c r="P22" s="48">
        <v>82</v>
      </c>
      <c r="Q22" s="48">
        <v>100</v>
      </c>
      <c r="R22" s="48">
        <v>98</v>
      </c>
      <c r="S22" s="58">
        <f>AVERAGE(E22:R22)</f>
        <v>94.142857142857139</v>
      </c>
    </row>
    <row r="23" spans="1:19" s="5" customFormat="1" ht="13.5" customHeight="1" x14ac:dyDescent="0.3">
      <c r="A23" s="14"/>
      <c r="B23" s="16"/>
      <c r="C23" s="2"/>
      <c r="D23" s="22"/>
      <c r="E23" s="30" t="str">
        <f t="shared" ref="E23:R23" si="10">IF(E22&gt;=90,"A",IF(E22&gt;=80,"B",IF(E22&gt;=70,"C",IF(E22&gt;=60,"D","F"))))</f>
        <v>A</v>
      </c>
      <c r="F23" s="30" t="str">
        <f t="shared" si="10"/>
        <v>A</v>
      </c>
      <c r="G23" s="30" t="str">
        <f t="shared" si="10"/>
        <v>B</v>
      </c>
      <c r="H23" s="30" t="str">
        <f t="shared" si="10"/>
        <v>A</v>
      </c>
      <c r="I23" s="30" t="str">
        <f t="shared" si="10"/>
        <v>A</v>
      </c>
      <c r="J23" s="30" t="str">
        <f t="shared" si="10"/>
        <v>A</v>
      </c>
      <c r="K23" s="30" t="str">
        <f t="shared" si="10"/>
        <v>B</v>
      </c>
      <c r="L23" s="30" t="str">
        <f t="shared" si="10"/>
        <v>A</v>
      </c>
      <c r="M23" s="30" t="str">
        <f t="shared" si="10"/>
        <v>A</v>
      </c>
      <c r="N23" s="30" t="str">
        <f t="shared" si="10"/>
        <v>A</v>
      </c>
      <c r="O23" s="30" t="str">
        <f t="shared" si="10"/>
        <v>A</v>
      </c>
      <c r="P23" s="30" t="str">
        <f t="shared" si="10"/>
        <v>B</v>
      </c>
      <c r="Q23" s="30" t="str">
        <f t="shared" si="10"/>
        <v>A</v>
      </c>
      <c r="R23" s="30" t="str">
        <f t="shared" si="10"/>
        <v>A</v>
      </c>
      <c r="S23" s="58"/>
    </row>
    <row r="24" spans="1:19" s="5" customFormat="1" ht="13.5" customHeight="1" x14ac:dyDescent="0.25">
      <c r="A24" s="14">
        <v>11</v>
      </c>
      <c r="B24" s="16" t="s">
        <v>274</v>
      </c>
      <c r="C24" s="2" t="s">
        <v>681</v>
      </c>
      <c r="D24" s="22" t="s">
        <v>376</v>
      </c>
      <c r="E24" s="48">
        <v>81</v>
      </c>
      <c r="F24" s="48">
        <v>85</v>
      </c>
      <c r="G24" s="48">
        <v>86</v>
      </c>
      <c r="H24" s="48">
        <v>93</v>
      </c>
      <c r="I24" s="48">
        <v>87</v>
      </c>
      <c r="J24" s="48">
        <v>93</v>
      </c>
      <c r="K24" s="48">
        <v>84</v>
      </c>
      <c r="L24" s="48">
        <v>87</v>
      </c>
      <c r="M24" s="48">
        <v>88</v>
      </c>
      <c r="N24" s="48">
        <v>98</v>
      </c>
      <c r="O24" s="48">
        <v>100</v>
      </c>
      <c r="P24" s="48">
        <v>90</v>
      </c>
      <c r="Q24" s="48">
        <v>100</v>
      </c>
      <c r="R24" s="48">
        <v>89</v>
      </c>
      <c r="S24" s="58">
        <f>AVERAGE(E24:R24)</f>
        <v>90.071428571428569</v>
      </c>
    </row>
    <row r="25" spans="1:19" s="5" customFormat="1" ht="13.5" customHeight="1" x14ac:dyDescent="0.3">
      <c r="A25" s="14"/>
      <c r="B25" s="16"/>
      <c r="C25" s="2"/>
      <c r="D25" s="22"/>
      <c r="E25" s="30" t="str">
        <f t="shared" ref="E25:R25" si="11">IF(E24&gt;=90,"A",IF(E24&gt;=80,"B",IF(E24&gt;=70,"C",IF(E24&gt;=60,"D","F"))))</f>
        <v>B</v>
      </c>
      <c r="F25" s="30" t="str">
        <f t="shared" si="11"/>
        <v>B</v>
      </c>
      <c r="G25" s="30" t="str">
        <f t="shared" si="11"/>
        <v>B</v>
      </c>
      <c r="H25" s="30" t="str">
        <f t="shared" si="11"/>
        <v>A</v>
      </c>
      <c r="I25" s="30" t="str">
        <f t="shared" si="11"/>
        <v>B</v>
      </c>
      <c r="J25" s="30" t="str">
        <f t="shared" si="11"/>
        <v>A</v>
      </c>
      <c r="K25" s="30" t="str">
        <f t="shared" si="11"/>
        <v>B</v>
      </c>
      <c r="L25" s="30" t="str">
        <f t="shared" si="11"/>
        <v>B</v>
      </c>
      <c r="M25" s="30" t="str">
        <f t="shared" si="11"/>
        <v>B</v>
      </c>
      <c r="N25" s="30" t="str">
        <f t="shared" si="11"/>
        <v>A</v>
      </c>
      <c r="O25" s="30" t="str">
        <f t="shared" si="11"/>
        <v>A</v>
      </c>
      <c r="P25" s="30" t="str">
        <f t="shared" si="11"/>
        <v>A</v>
      </c>
      <c r="Q25" s="30" t="str">
        <f t="shared" si="11"/>
        <v>A</v>
      </c>
      <c r="R25" s="30" t="str">
        <f t="shared" si="11"/>
        <v>B</v>
      </c>
      <c r="S25" s="58"/>
    </row>
    <row r="26" spans="1:19" s="5" customFormat="1" ht="13.5" customHeight="1" x14ac:dyDescent="0.25">
      <c r="A26" s="14">
        <v>12</v>
      </c>
      <c r="B26" s="17" t="s">
        <v>28</v>
      </c>
      <c r="C26" s="2" t="s">
        <v>682</v>
      </c>
      <c r="D26" s="22" t="s">
        <v>376</v>
      </c>
      <c r="E26" s="48">
        <v>45</v>
      </c>
      <c r="F26" s="48">
        <v>71</v>
      </c>
      <c r="G26" s="48">
        <v>74</v>
      </c>
      <c r="H26" s="48">
        <v>75</v>
      </c>
      <c r="I26" s="48">
        <v>71</v>
      </c>
      <c r="J26" s="48">
        <v>77</v>
      </c>
      <c r="K26" s="48">
        <v>63</v>
      </c>
      <c r="L26" s="48">
        <v>70</v>
      </c>
      <c r="M26" s="48">
        <v>81</v>
      </c>
      <c r="N26" s="48">
        <v>97</v>
      </c>
      <c r="O26" s="48">
        <v>100</v>
      </c>
      <c r="P26" s="48">
        <v>81</v>
      </c>
      <c r="Q26" s="48">
        <v>100</v>
      </c>
      <c r="R26" s="48">
        <v>96</v>
      </c>
      <c r="S26" s="58">
        <f>AVERAGE(E26:R26)</f>
        <v>78.642857142857139</v>
      </c>
    </row>
    <row r="27" spans="1:19" s="5" customFormat="1" ht="13.5" customHeight="1" x14ac:dyDescent="0.3">
      <c r="A27" s="14"/>
      <c r="B27" s="17"/>
      <c r="C27" s="2"/>
      <c r="D27" s="22"/>
      <c r="E27" s="30" t="str">
        <f t="shared" ref="E27:R27" si="12">IF(E26&gt;=90,"A",IF(E26&gt;=80,"B",IF(E26&gt;=70,"C",IF(E26&gt;=60,"D","F"))))</f>
        <v>F</v>
      </c>
      <c r="F27" s="30" t="str">
        <f t="shared" si="12"/>
        <v>C</v>
      </c>
      <c r="G27" s="30" t="str">
        <f t="shared" si="12"/>
        <v>C</v>
      </c>
      <c r="H27" s="30" t="str">
        <f t="shared" si="12"/>
        <v>C</v>
      </c>
      <c r="I27" s="30" t="str">
        <f t="shared" si="12"/>
        <v>C</v>
      </c>
      <c r="J27" s="30" t="str">
        <f t="shared" si="12"/>
        <v>C</v>
      </c>
      <c r="K27" s="30" t="str">
        <f t="shared" si="12"/>
        <v>D</v>
      </c>
      <c r="L27" s="30" t="str">
        <f t="shared" si="12"/>
        <v>C</v>
      </c>
      <c r="M27" s="30" t="str">
        <f t="shared" si="12"/>
        <v>B</v>
      </c>
      <c r="N27" s="30" t="str">
        <f t="shared" si="12"/>
        <v>A</v>
      </c>
      <c r="O27" s="30" t="str">
        <f t="shared" si="12"/>
        <v>A</v>
      </c>
      <c r="P27" s="30" t="str">
        <f t="shared" si="12"/>
        <v>B</v>
      </c>
      <c r="Q27" s="30" t="str">
        <f t="shared" si="12"/>
        <v>A</v>
      </c>
      <c r="R27" s="30" t="str">
        <f t="shared" si="12"/>
        <v>A</v>
      </c>
      <c r="S27" s="58"/>
    </row>
    <row r="28" spans="1:19" s="5" customFormat="1" ht="13.5" customHeight="1" x14ac:dyDescent="0.25">
      <c r="A28" s="14">
        <v>13</v>
      </c>
      <c r="B28" s="16" t="s">
        <v>32</v>
      </c>
      <c r="C28" s="2" t="s">
        <v>683</v>
      </c>
      <c r="D28" s="22" t="s">
        <v>375</v>
      </c>
      <c r="E28" s="48">
        <v>73</v>
      </c>
      <c r="F28" s="62">
        <v>0</v>
      </c>
      <c r="G28" s="48">
        <v>90</v>
      </c>
      <c r="H28" s="62">
        <v>0</v>
      </c>
      <c r="I28" s="48">
        <v>84</v>
      </c>
      <c r="J28" s="62">
        <v>0</v>
      </c>
      <c r="K28" s="48">
        <v>93</v>
      </c>
      <c r="L28" s="62">
        <v>0</v>
      </c>
      <c r="M28" s="48">
        <v>80</v>
      </c>
      <c r="N28" s="48">
        <v>95</v>
      </c>
      <c r="O28" s="48">
        <v>94</v>
      </c>
      <c r="P28" s="48">
        <v>85</v>
      </c>
      <c r="Q28" s="48">
        <v>100</v>
      </c>
      <c r="R28" s="48">
        <v>94</v>
      </c>
      <c r="S28" s="58">
        <f>AVERAGE(E28,G28,I28,K28,M28:R28)</f>
        <v>88.8</v>
      </c>
    </row>
    <row r="29" spans="1:19" s="5" customFormat="1" ht="13.5" customHeight="1" x14ac:dyDescent="0.3">
      <c r="A29" s="14"/>
      <c r="B29" s="16"/>
      <c r="C29" s="2"/>
      <c r="D29" s="22"/>
      <c r="E29" s="30" t="str">
        <f>IF(E28&gt;=90,"A",IF(E28&gt;=80,"B",IF(E28&gt;=70,"C",IF(E28&gt;=60,"D","F"))))</f>
        <v>C</v>
      </c>
      <c r="F29" s="62"/>
      <c r="G29" s="30" t="str">
        <f>IF(G28&gt;=90,"A",IF(G28&gt;=80,"B",IF(G28&gt;=70,"C",IF(G28&gt;=60,"D","F"))))</f>
        <v>A</v>
      </c>
      <c r="H29" s="62"/>
      <c r="I29" s="30" t="str">
        <f>IF(I28&gt;=90,"A",IF(I28&gt;=80,"B",IF(I28&gt;=70,"C",IF(I28&gt;=60,"D","F"))))</f>
        <v>B</v>
      </c>
      <c r="J29" s="62"/>
      <c r="K29" s="30" t="str">
        <f>IF(K28&gt;=90,"A",IF(K28&gt;=80,"B",IF(K28&gt;=70,"C",IF(K28&gt;=60,"D","F"))))</f>
        <v>A</v>
      </c>
      <c r="L29" s="62"/>
      <c r="M29" s="30" t="str">
        <f>IF(M28&gt;=90,"A",IF(M28&gt;=80,"B",IF(M28&gt;=70,"C",IF(M28&gt;=60,"D","F"))))</f>
        <v>B</v>
      </c>
      <c r="N29" s="30" t="str">
        <f t="shared" ref="N29:R29" si="13">IF(N28&gt;=90,"A",IF(N28&gt;=80,"B",IF(N28&gt;=70,"C",IF(N28&gt;=60,"D","F"))))</f>
        <v>A</v>
      </c>
      <c r="O29" s="30" t="str">
        <f t="shared" si="13"/>
        <v>A</v>
      </c>
      <c r="P29" s="30" t="str">
        <f t="shared" si="13"/>
        <v>B</v>
      </c>
      <c r="Q29" s="30" t="str">
        <f t="shared" si="13"/>
        <v>A</v>
      </c>
      <c r="R29" s="30" t="str">
        <f t="shared" si="13"/>
        <v>A</v>
      </c>
      <c r="S29" s="58"/>
    </row>
    <row r="30" spans="1:19" s="5" customFormat="1" ht="13.5" customHeight="1" x14ac:dyDescent="0.25">
      <c r="A30" s="14">
        <v>14</v>
      </c>
      <c r="B30" s="16" t="s">
        <v>275</v>
      </c>
      <c r="C30" s="2" t="s">
        <v>684</v>
      </c>
      <c r="D30" s="22" t="s">
        <v>375</v>
      </c>
      <c r="E30" s="48">
        <v>77</v>
      </c>
      <c r="F30" s="48">
        <v>73</v>
      </c>
      <c r="G30" s="48">
        <v>92</v>
      </c>
      <c r="H30" s="48">
        <v>90</v>
      </c>
      <c r="I30" s="48">
        <v>89</v>
      </c>
      <c r="J30" s="48">
        <v>90</v>
      </c>
      <c r="K30" s="48">
        <v>65</v>
      </c>
      <c r="L30" s="48">
        <v>73</v>
      </c>
      <c r="M30" s="48">
        <v>91</v>
      </c>
      <c r="N30" s="48">
        <v>92</v>
      </c>
      <c r="O30" s="48">
        <v>98</v>
      </c>
      <c r="P30" s="48">
        <v>92</v>
      </c>
      <c r="Q30" s="48">
        <v>100</v>
      </c>
      <c r="R30" s="48">
        <v>96</v>
      </c>
      <c r="S30" s="58">
        <f>AVERAGE(E30:R30)</f>
        <v>87</v>
      </c>
    </row>
    <row r="31" spans="1:19" s="5" customFormat="1" ht="13.5" customHeight="1" x14ac:dyDescent="0.3">
      <c r="A31" s="14"/>
      <c r="B31" s="16"/>
      <c r="C31" s="2"/>
      <c r="D31" s="22"/>
      <c r="E31" s="30" t="str">
        <f t="shared" ref="E31:R31" si="14">IF(E30&gt;=90,"A",IF(E30&gt;=80,"B",IF(E30&gt;=70,"C",IF(E30&gt;=60,"D","F"))))</f>
        <v>C</v>
      </c>
      <c r="F31" s="30" t="str">
        <f t="shared" si="14"/>
        <v>C</v>
      </c>
      <c r="G31" s="30" t="str">
        <f t="shared" si="14"/>
        <v>A</v>
      </c>
      <c r="H31" s="30" t="str">
        <f t="shared" si="14"/>
        <v>A</v>
      </c>
      <c r="I31" s="30" t="str">
        <f t="shared" si="14"/>
        <v>B</v>
      </c>
      <c r="J31" s="30" t="str">
        <f t="shared" si="14"/>
        <v>A</v>
      </c>
      <c r="K31" s="30" t="str">
        <f t="shared" si="14"/>
        <v>D</v>
      </c>
      <c r="L31" s="30" t="str">
        <f t="shared" si="14"/>
        <v>C</v>
      </c>
      <c r="M31" s="30" t="str">
        <f t="shared" si="14"/>
        <v>A</v>
      </c>
      <c r="N31" s="30" t="str">
        <f t="shared" si="14"/>
        <v>A</v>
      </c>
      <c r="O31" s="30" t="str">
        <f t="shared" si="14"/>
        <v>A</v>
      </c>
      <c r="P31" s="30" t="str">
        <f t="shared" si="14"/>
        <v>A</v>
      </c>
      <c r="Q31" s="30" t="str">
        <f t="shared" si="14"/>
        <v>A</v>
      </c>
      <c r="R31" s="30" t="str">
        <f t="shared" si="14"/>
        <v>A</v>
      </c>
      <c r="S31" s="58"/>
    </row>
    <row r="32" spans="1:19" s="5" customFormat="1" ht="13.5" customHeight="1" x14ac:dyDescent="0.25">
      <c r="A32" s="14">
        <v>15</v>
      </c>
      <c r="B32" s="16" t="s">
        <v>34</v>
      </c>
      <c r="C32" s="2" t="s">
        <v>685</v>
      </c>
      <c r="D32" s="22" t="s">
        <v>375</v>
      </c>
      <c r="E32" s="48">
        <v>85</v>
      </c>
      <c r="F32" s="48">
        <v>91</v>
      </c>
      <c r="G32" s="48">
        <v>91</v>
      </c>
      <c r="H32" s="48">
        <v>91</v>
      </c>
      <c r="I32" s="48">
        <v>97</v>
      </c>
      <c r="J32" s="48">
        <v>94</v>
      </c>
      <c r="K32" s="48">
        <v>95</v>
      </c>
      <c r="L32" s="48">
        <v>96</v>
      </c>
      <c r="M32" s="48">
        <v>91</v>
      </c>
      <c r="N32" s="48">
        <v>95</v>
      </c>
      <c r="O32" s="48">
        <v>99</v>
      </c>
      <c r="P32" s="48">
        <v>94</v>
      </c>
      <c r="Q32" s="48">
        <v>100</v>
      </c>
      <c r="R32" s="48">
        <v>96</v>
      </c>
      <c r="S32" s="58">
        <f t="shared" ref="S32:S44" si="15">AVERAGE(E32:R32)</f>
        <v>93.928571428571431</v>
      </c>
    </row>
    <row r="33" spans="1:19" s="5" customFormat="1" ht="13.5" customHeight="1" x14ac:dyDescent="0.3">
      <c r="A33" s="14"/>
      <c r="B33" s="16"/>
      <c r="C33" s="2"/>
      <c r="D33" s="22"/>
      <c r="E33" s="30" t="str">
        <f t="shared" ref="E33:R33" si="16">IF(E32&gt;=90,"A",IF(E32&gt;=80,"B",IF(E32&gt;=70,"C",IF(E32&gt;=60,"D","F"))))</f>
        <v>B</v>
      </c>
      <c r="F33" s="30" t="str">
        <f t="shared" si="16"/>
        <v>A</v>
      </c>
      <c r="G33" s="30" t="str">
        <f t="shared" si="16"/>
        <v>A</v>
      </c>
      <c r="H33" s="30" t="str">
        <f t="shared" si="16"/>
        <v>A</v>
      </c>
      <c r="I33" s="30" t="str">
        <f t="shared" si="16"/>
        <v>A</v>
      </c>
      <c r="J33" s="30" t="str">
        <f t="shared" si="16"/>
        <v>A</v>
      </c>
      <c r="K33" s="30" t="str">
        <f t="shared" si="16"/>
        <v>A</v>
      </c>
      <c r="L33" s="30" t="str">
        <f t="shared" si="16"/>
        <v>A</v>
      </c>
      <c r="M33" s="30" t="str">
        <f t="shared" si="16"/>
        <v>A</v>
      </c>
      <c r="N33" s="30" t="str">
        <f t="shared" si="16"/>
        <v>A</v>
      </c>
      <c r="O33" s="30" t="str">
        <f t="shared" si="16"/>
        <v>A</v>
      </c>
      <c r="P33" s="30" t="str">
        <f t="shared" si="16"/>
        <v>A</v>
      </c>
      <c r="Q33" s="30" t="str">
        <f t="shared" si="16"/>
        <v>A</v>
      </c>
      <c r="R33" s="30" t="str">
        <f t="shared" si="16"/>
        <v>A</v>
      </c>
      <c r="S33" s="58"/>
    </row>
    <row r="34" spans="1:19" s="5" customFormat="1" ht="13.5" customHeight="1" x14ac:dyDescent="0.25">
      <c r="A34" s="14">
        <v>16</v>
      </c>
      <c r="B34" s="16" t="s">
        <v>276</v>
      </c>
      <c r="C34" s="2" t="s">
        <v>686</v>
      </c>
      <c r="D34" s="22" t="s">
        <v>376</v>
      </c>
      <c r="E34" s="48">
        <v>60</v>
      </c>
      <c r="F34" s="48">
        <v>75</v>
      </c>
      <c r="G34" s="48">
        <v>80</v>
      </c>
      <c r="H34" s="48">
        <v>71</v>
      </c>
      <c r="I34" s="48">
        <v>78</v>
      </c>
      <c r="J34" s="48">
        <v>80</v>
      </c>
      <c r="K34" s="48">
        <v>70</v>
      </c>
      <c r="L34" s="48">
        <v>81</v>
      </c>
      <c r="M34" s="48">
        <v>80</v>
      </c>
      <c r="N34" s="48">
        <v>97</v>
      </c>
      <c r="O34" s="48">
        <v>97</v>
      </c>
      <c r="P34" s="48">
        <v>90</v>
      </c>
      <c r="Q34" s="48">
        <v>100</v>
      </c>
      <c r="R34" s="48">
        <v>97</v>
      </c>
      <c r="S34" s="58">
        <f t="shared" si="15"/>
        <v>82.571428571428569</v>
      </c>
    </row>
    <row r="35" spans="1:19" s="5" customFormat="1" ht="13.5" customHeight="1" x14ac:dyDescent="0.3">
      <c r="A35" s="14"/>
      <c r="B35" s="16"/>
      <c r="C35" s="2"/>
      <c r="D35" s="22"/>
      <c r="E35" s="30" t="str">
        <f t="shared" ref="E35:R35" si="17">IF(E34&gt;=90,"A",IF(E34&gt;=80,"B",IF(E34&gt;=70,"C",IF(E34&gt;=60,"D","F"))))</f>
        <v>D</v>
      </c>
      <c r="F35" s="30" t="str">
        <f t="shared" si="17"/>
        <v>C</v>
      </c>
      <c r="G35" s="30" t="str">
        <f t="shared" si="17"/>
        <v>B</v>
      </c>
      <c r="H35" s="30" t="str">
        <f t="shared" si="17"/>
        <v>C</v>
      </c>
      <c r="I35" s="30" t="str">
        <f t="shared" si="17"/>
        <v>C</v>
      </c>
      <c r="J35" s="30" t="str">
        <f t="shared" si="17"/>
        <v>B</v>
      </c>
      <c r="K35" s="30" t="str">
        <f t="shared" si="17"/>
        <v>C</v>
      </c>
      <c r="L35" s="30" t="str">
        <f t="shared" si="17"/>
        <v>B</v>
      </c>
      <c r="M35" s="30" t="str">
        <f t="shared" si="17"/>
        <v>B</v>
      </c>
      <c r="N35" s="30" t="str">
        <f t="shared" si="17"/>
        <v>A</v>
      </c>
      <c r="O35" s="30" t="str">
        <f t="shared" si="17"/>
        <v>A</v>
      </c>
      <c r="P35" s="30" t="str">
        <f t="shared" si="17"/>
        <v>A</v>
      </c>
      <c r="Q35" s="30" t="str">
        <f t="shared" si="17"/>
        <v>A</v>
      </c>
      <c r="R35" s="30" t="str">
        <f t="shared" si="17"/>
        <v>A</v>
      </c>
      <c r="S35" s="58"/>
    </row>
    <row r="36" spans="1:19" x14ac:dyDescent="0.25">
      <c r="A36" s="14">
        <v>17</v>
      </c>
      <c r="B36" s="16" t="s">
        <v>277</v>
      </c>
      <c r="C36" s="2" t="s">
        <v>687</v>
      </c>
      <c r="D36" s="22" t="s">
        <v>376</v>
      </c>
      <c r="E36" s="29">
        <v>90</v>
      </c>
      <c r="F36" s="29">
        <v>89</v>
      </c>
      <c r="G36" s="29">
        <v>86</v>
      </c>
      <c r="H36" s="29">
        <v>74</v>
      </c>
      <c r="I36" s="29">
        <v>92</v>
      </c>
      <c r="J36" s="48">
        <v>88</v>
      </c>
      <c r="K36" s="48">
        <v>84</v>
      </c>
      <c r="L36" s="48">
        <v>96</v>
      </c>
      <c r="M36" s="48">
        <v>93</v>
      </c>
      <c r="N36" s="48">
        <v>98</v>
      </c>
      <c r="O36" s="48">
        <v>97</v>
      </c>
      <c r="P36" s="48">
        <v>91</v>
      </c>
      <c r="Q36" s="48">
        <v>100</v>
      </c>
      <c r="R36" s="48">
        <v>88</v>
      </c>
      <c r="S36" s="58">
        <f t="shared" si="15"/>
        <v>90.428571428571431</v>
      </c>
    </row>
    <row r="37" spans="1:19" ht="15.75" x14ac:dyDescent="0.3">
      <c r="A37" s="14"/>
      <c r="B37" s="16"/>
      <c r="C37" s="2"/>
      <c r="D37" s="22"/>
      <c r="E37" s="30" t="str">
        <f t="shared" ref="E37:R37" si="18">IF(E36&gt;=90,"A",IF(E36&gt;=80,"B",IF(E36&gt;=70,"C",IF(E36&gt;=60,"D","F"))))</f>
        <v>A</v>
      </c>
      <c r="F37" s="30" t="str">
        <f t="shared" si="18"/>
        <v>B</v>
      </c>
      <c r="G37" s="30" t="str">
        <f t="shared" si="18"/>
        <v>B</v>
      </c>
      <c r="H37" s="30" t="str">
        <f t="shared" si="18"/>
        <v>C</v>
      </c>
      <c r="I37" s="30" t="str">
        <f t="shared" si="18"/>
        <v>A</v>
      </c>
      <c r="J37" s="30" t="str">
        <f t="shared" si="18"/>
        <v>B</v>
      </c>
      <c r="K37" s="30" t="str">
        <f t="shared" si="18"/>
        <v>B</v>
      </c>
      <c r="L37" s="30" t="str">
        <f t="shared" si="18"/>
        <v>A</v>
      </c>
      <c r="M37" s="30" t="str">
        <f t="shared" si="18"/>
        <v>A</v>
      </c>
      <c r="N37" s="30" t="str">
        <f t="shared" si="18"/>
        <v>A</v>
      </c>
      <c r="O37" s="30" t="str">
        <f t="shared" si="18"/>
        <v>A</v>
      </c>
      <c r="P37" s="30" t="str">
        <f t="shared" si="18"/>
        <v>A</v>
      </c>
      <c r="Q37" s="30" t="str">
        <f t="shared" si="18"/>
        <v>A</v>
      </c>
      <c r="R37" s="30" t="str">
        <f t="shared" si="18"/>
        <v>B</v>
      </c>
      <c r="S37" s="58"/>
    </row>
    <row r="38" spans="1:19" x14ac:dyDescent="0.25">
      <c r="A38" s="14">
        <v>18</v>
      </c>
      <c r="B38" s="16" t="s">
        <v>278</v>
      </c>
      <c r="C38" s="2" t="s">
        <v>688</v>
      </c>
      <c r="D38" s="22" t="s">
        <v>376</v>
      </c>
      <c r="E38" s="29">
        <v>91</v>
      </c>
      <c r="F38" s="29">
        <v>89</v>
      </c>
      <c r="G38" s="29">
        <v>92</v>
      </c>
      <c r="H38" s="29">
        <v>91</v>
      </c>
      <c r="I38" s="29">
        <v>90</v>
      </c>
      <c r="J38" s="29">
        <v>95</v>
      </c>
      <c r="K38" s="48">
        <v>87</v>
      </c>
      <c r="L38" s="48">
        <v>97</v>
      </c>
      <c r="M38" s="48">
        <v>93</v>
      </c>
      <c r="N38" s="48">
        <v>98</v>
      </c>
      <c r="O38" s="48">
        <v>100</v>
      </c>
      <c r="P38" s="48">
        <v>94</v>
      </c>
      <c r="Q38" s="48">
        <v>95</v>
      </c>
      <c r="R38" s="48">
        <v>96</v>
      </c>
      <c r="S38" s="58">
        <f t="shared" si="15"/>
        <v>93.428571428571431</v>
      </c>
    </row>
    <row r="39" spans="1:19" ht="15.75" x14ac:dyDescent="0.3">
      <c r="A39" s="14"/>
      <c r="B39" s="16"/>
      <c r="C39" s="2"/>
      <c r="D39" s="22"/>
      <c r="E39" s="30" t="str">
        <f t="shared" ref="E39:R39" si="19">IF(E38&gt;=90,"A",IF(E38&gt;=80,"B",IF(E38&gt;=70,"C",IF(E38&gt;=60,"D","F"))))</f>
        <v>A</v>
      </c>
      <c r="F39" s="30" t="str">
        <f t="shared" si="19"/>
        <v>B</v>
      </c>
      <c r="G39" s="30" t="str">
        <f t="shared" si="19"/>
        <v>A</v>
      </c>
      <c r="H39" s="30" t="str">
        <f t="shared" si="19"/>
        <v>A</v>
      </c>
      <c r="I39" s="30" t="str">
        <f t="shared" si="19"/>
        <v>A</v>
      </c>
      <c r="J39" s="30" t="str">
        <f t="shared" si="19"/>
        <v>A</v>
      </c>
      <c r="K39" s="30" t="str">
        <f t="shared" si="19"/>
        <v>B</v>
      </c>
      <c r="L39" s="30" t="str">
        <f t="shared" si="19"/>
        <v>A</v>
      </c>
      <c r="M39" s="30" t="str">
        <f t="shared" si="19"/>
        <v>A</v>
      </c>
      <c r="N39" s="30" t="str">
        <f t="shared" si="19"/>
        <v>A</v>
      </c>
      <c r="O39" s="30" t="str">
        <f t="shared" si="19"/>
        <v>A</v>
      </c>
      <c r="P39" s="30" t="str">
        <f t="shared" si="19"/>
        <v>A</v>
      </c>
      <c r="Q39" s="30" t="str">
        <f t="shared" si="19"/>
        <v>A</v>
      </c>
      <c r="R39" s="30" t="str">
        <f t="shared" si="19"/>
        <v>A</v>
      </c>
      <c r="S39" s="58"/>
    </row>
    <row r="40" spans="1:19" x14ac:dyDescent="0.25">
      <c r="A40" s="14">
        <v>19</v>
      </c>
      <c r="B40" s="17" t="s">
        <v>372</v>
      </c>
      <c r="C40" s="2" t="s">
        <v>689</v>
      </c>
      <c r="D40" s="22" t="s">
        <v>375</v>
      </c>
      <c r="E40" s="29">
        <v>56</v>
      </c>
      <c r="F40" s="29">
        <v>71</v>
      </c>
      <c r="G40" s="29">
        <v>80</v>
      </c>
      <c r="H40" s="29">
        <v>84</v>
      </c>
      <c r="I40" s="29">
        <v>61</v>
      </c>
      <c r="J40" s="29">
        <v>83</v>
      </c>
      <c r="K40" s="48">
        <v>81</v>
      </c>
      <c r="L40" s="48">
        <v>90</v>
      </c>
      <c r="M40" s="48">
        <v>75</v>
      </c>
      <c r="N40" s="48">
        <v>87</v>
      </c>
      <c r="O40" s="48">
        <v>100</v>
      </c>
      <c r="P40" s="48">
        <v>82</v>
      </c>
      <c r="Q40" s="48">
        <v>100</v>
      </c>
      <c r="R40" s="48">
        <v>96</v>
      </c>
      <c r="S40" s="58">
        <f t="shared" si="15"/>
        <v>81.857142857142861</v>
      </c>
    </row>
    <row r="41" spans="1:19" ht="15.75" x14ac:dyDescent="0.3">
      <c r="A41" s="14"/>
      <c r="B41" s="17"/>
      <c r="C41" s="2"/>
      <c r="D41" s="22"/>
      <c r="E41" s="30" t="str">
        <f t="shared" ref="E41:R41" si="20">IF(E40&gt;=90,"A",IF(E40&gt;=80,"B",IF(E40&gt;=70,"C",IF(E40&gt;=60,"D","F"))))</f>
        <v>F</v>
      </c>
      <c r="F41" s="30" t="str">
        <f t="shared" si="20"/>
        <v>C</v>
      </c>
      <c r="G41" s="30" t="str">
        <f t="shared" si="20"/>
        <v>B</v>
      </c>
      <c r="H41" s="30" t="str">
        <f t="shared" si="20"/>
        <v>B</v>
      </c>
      <c r="I41" s="30" t="str">
        <f t="shared" si="20"/>
        <v>D</v>
      </c>
      <c r="J41" s="30" t="str">
        <f t="shared" si="20"/>
        <v>B</v>
      </c>
      <c r="K41" s="30" t="str">
        <f t="shared" si="20"/>
        <v>B</v>
      </c>
      <c r="L41" s="30" t="str">
        <f t="shared" si="20"/>
        <v>A</v>
      </c>
      <c r="M41" s="30" t="str">
        <f t="shared" si="20"/>
        <v>C</v>
      </c>
      <c r="N41" s="30" t="str">
        <f t="shared" si="20"/>
        <v>B</v>
      </c>
      <c r="O41" s="30" t="str">
        <f t="shared" si="20"/>
        <v>A</v>
      </c>
      <c r="P41" s="30" t="str">
        <f t="shared" si="20"/>
        <v>B</v>
      </c>
      <c r="Q41" s="30" t="str">
        <f t="shared" si="20"/>
        <v>A</v>
      </c>
      <c r="R41" s="30" t="str">
        <f t="shared" si="20"/>
        <v>A</v>
      </c>
      <c r="S41" s="58"/>
    </row>
    <row r="42" spans="1:19" x14ac:dyDescent="0.25">
      <c r="A42" s="14">
        <v>20</v>
      </c>
      <c r="B42" s="17" t="s">
        <v>263</v>
      </c>
      <c r="C42" s="2" t="s">
        <v>690</v>
      </c>
      <c r="D42" s="22" t="s">
        <v>376</v>
      </c>
      <c r="E42" s="29">
        <v>91</v>
      </c>
      <c r="F42" s="29">
        <v>92</v>
      </c>
      <c r="G42" s="29">
        <v>93</v>
      </c>
      <c r="H42" s="29">
        <v>93</v>
      </c>
      <c r="I42" s="29">
        <v>93</v>
      </c>
      <c r="J42" s="29">
        <v>93</v>
      </c>
      <c r="K42" s="48">
        <v>96</v>
      </c>
      <c r="L42" s="48">
        <v>100</v>
      </c>
      <c r="M42" s="48">
        <v>94</v>
      </c>
      <c r="N42" s="48">
        <v>97</v>
      </c>
      <c r="O42" s="48">
        <v>99</v>
      </c>
      <c r="P42" s="48">
        <v>94</v>
      </c>
      <c r="Q42" s="48">
        <v>100</v>
      </c>
      <c r="R42" s="48">
        <v>96</v>
      </c>
      <c r="S42" s="58">
        <f t="shared" si="15"/>
        <v>95.071428571428569</v>
      </c>
    </row>
    <row r="43" spans="1:19" ht="15.75" x14ac:dyDescent="0.3">
      <c r="A43" s="14"/>
      <c r="B43" s="17"/>
      <c r="C43" s="2"/>
      <c r="D43" s="22"/>
      <c r="E43" s="30" t="str">
        <f t="shared" ref="E43:R43" si="21">IF(E42&gt;=90,"A",IF(E42&gt;=80,"B",IF(E42&gt;=70,"C",IF(E42&gt;=60,"D","F"))))</f>
        <v>A</v>
      </c>
      <c r="F43" s="30" t="str">
        <f t="shared" si="21"/>
        <v>A</v>
      </c>
      <c r="G43" s="30" t="str">
        <f t="shared" si="21"/>
        <v>A</v>
      </c>
      <c r="H43" s="30" t="str">
        <f t="shared" si="21"/>
        <v>A</v>
      </c>
      <c r="I43" s="30" t="str">
        <f t="shared" si="21"/>
        <v>A</v>
      </c>
      <c r="J43" s="30" t="str">
        <f t="shared" si="21"/>
        <v>A</v>
      </c>
      <c r="K43" s="30" t="str">
        <f t="shared" si="21"/>
        <v>A</v>
      </c>
      <c r="L43" s="30" t="str">
        <f t="shared" si="21"/>
        <v>A</v>
      </c>
      <c r="M43" s="30" t="str">
        <f t="shared" si="21"/>
        <v>A</v>
      </c>
      <c r="N43" s="30" t="str">
        <f t="shared" si="21"/>
        <v>A</v>
      </c>
      <c r="O43" s="30" t="str">
        <f t="shared" si="21"/>
        <v>A</v>
      </c>
      <c r="P43" s="30" t="str">
        <f t="shared" si="21"/>
        <v>A</v>
      </c>
      <c r="Q43" s="30" t="str">
        <f t="shared" si="21"/>
        <v>A</v>
      </c>
      <c r="R43" s="30" t="str">
        <f t="shared" si="21"/>
        <v>A</v>
      </c>
      <c r="S43" s="58"/>
    </row>
    <row r="44" spans="1:19" x14ac:dyDescent="0.25">
      <c r="A44" s="14">
        <v>21</v>
      </c>
      <c r="B44" s="17" t="s">
        <v>265</v>
      </c>
      <c r="C44" s="2" t="s">
        <v>691</v>
      </c>
      <c r="D44" s="22" t="s">
        <v>375</v>
      </c>
      <c r="E44" s="29">
        <v>86</v>
      </c>
      <c r="F44" s="29">
        <v>85</v>
      </c>
      <c r="G44" s="29">
        <v>91</v>
      </c>
      <c r="H44" s="29">
        <v>84</v>
      </c>
      <c r="I44" s="29">
        <v>85</v>
      </c>
      <c r="J44" s="29">
        <v>86</v>
      </c>
      <c r="K44" s="48">
        <v>76</v>
      </c>
      <c r="L44" s="48">
        <v>80</v>
      </c>
      <c r="M44" s="48">
        <v>90</v>
      </c>
      <c r="N44" s="48">
        <v>97</v>
      </c>
      <c r="O44" s="48">
        <v>100</v>
      </c>
      <c r="P44" s="48">
        <v>94</v>
      </c>
      <c r="Q44" s="48">
        <v>100</v>
      </c>
      <c r="R44" s="48">
        <v>98</v>
      </c>
      <c r="S44" s="58">
        <f t="shared" si="15"/>
        <v>89.428571428571431</v>
      </c>
    </row>
    <row r="45" spans="1:19" ht="15.75" x14ac:dyDescent="0.3">
      <c r="A45" s="25"/>
      <c r="B45" s="20"/>
      <c r="C45" s="20"/>
      <c r="D45" s="6"/>
      <c r="E45" s="30" t="str">
        <f t="shared" ref="E45:R45" si="22">IF(E44&gt;=90,"A",IF(E44&gt;=80,"B",IF(E44&gt;=70,"C",IF(E44&gt;=60,"D","F"))))</f>
        <v>B</v>
      </c>
      <c r="F45" s="30" t="str">
        <f t="shared" si="22"/>
        <v>B</v>
      </c>
      <c r="G45" s="30" t="str">
        <f t="shared" si="22"/>
        <v>A</v>
      </c>
      <c r="H45" s="30" t="str">
        <f t="shared" si="22"/>
        <v>B</v>
      </c>
      <c r="I45" s="30" t="str">
        <f t="shared" si="22"/>
        <v>B</v>
      </c>
      <c r="J45" s="30" t="str">
        <f t="shared" si="22"/>
        <v>B</v>
      </c>
      <c r="K45" s="30" t="str">
        <f t="shared" si="22"/>
        <v>C</v>
      </c>
      <c r="L45" s="30" t="str">
        <f t="shared" si="22"/>
        <v>B</v>
      </c>
      <c r="M45" s="30" t="str">
        <f t="shared" si="22"/>
        <v>A</v>
      </c>
      <c r="N45" s="30" t="str">
        <f t="shared" si="22"/>
        <v>A</v>
      </c>
      <c r="O45" s="30" t="str">
        <f t="shared" si="22"/>
        <v>A</v>
      </c>
      <c r="P45" s="30" t="str">
        <f t="shared" si="22"/>
        <v>A</v>
      </c>
      <c r="Q45" s="30" t="str">
        <f t="shared" si="22"/>
        <v>A</v>
      </c>
      <c r="R45" s="30" t="str">
        <f t="shared" si="22"/>
        <v>A</v>
      </c>
      <c r="S45" s="3"/>
    </row>
  </sheetData>
  <sheetProtection formatCells="0" formatColumns="0" formatRows="0" insertColumns="0" insertRows="0" insertHyperlinks="0" deleteColumns="0" deleteRows="0" sort="0" autoFilter="0" pivotTables="0"/>
  <autoFilter ref="A1:D34" xr:uid="{00000000-0009-0000-0000-000016000000}">
    <filterColumn colId="0" showButton="0"/>
  </autoFilter>
  <mergeCells count="1">
    <mergeCell ref="A1:B2"/>
  </mergeCells>
  <pageMargins left="0.23" right="0.17" top="0.27" bottom="0.34" header="0.17" footer="0.41"/>
  <pageSetup paperSize="9" orientation="landscape" r:id="rId1"/>
  <headerFooter>
    <oddFooter xml:space="preserve">&amp;C
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41"/>
  <sheetViews>
    <sheetView zoomScaleNormal="100" workbookViewId="0">
      <selection activeCell="F1" sqref="F1"/>
    </sheetView>
  </sheetViews>
  <sheetFormatPr defaultRowHeight="15" x14ac:dyDescent="0.25"/>
  <cols>
    <col min="1" max="1" width="4.85546875" style="13" customWidth="1"/>
    <col min="2" max="2" width="18.5703125" style="28" customWidth="1"/>
    <col min="3" max="3" width="11.28515625" style="28" bestFit="1" customWidth="1"/>
    <col min="4" max="4" width="6" style="7" customWidth="1"/>
    <col min="5" max="5" width="8.140625" style="46" customWidth="1"/>
    <col min="6" max="6" width="9.28515625" style="46" customWidth="1"/>
    <col min="7" max="7" width="12.5703125" style="46" bestFit="1" customWidth="1"/>
    <col min="8" max="8" width="9.28515625" style="46" customWidth="1"/>
    <col min="9" max="9" width="10.28515625" style="46" customWidth="1"/>
    <col min="10" max="10" width="10.140625" style="46" customWidth="1"/>
    <col min="11" max="11" width="15.28515625" style="46" customWidth="1"/>
    <col min="12" max="12" width="9" style="46" customWidth="1"/>
    <col min="13" max="13" width="12.140625" style="46" bestFit="1" customWidth="1"/>
    <col min="14" max="14" width="10.28515625" style="46" customWidth="1"/>
    <col min="15" max="15" width="8.5703125" style="46" customWidth="1"/>
    <col min="16" max="16384" width="9.140625" style="2"/>
  </cols>
  <sheetData>
    <row r="1" spans="1:16" ht="6" customHeight="1" x14ac:dyDescent="0.25">
      <c r="A1" s="85" t="s">
        <v>712</v>
      </c>
      <c r="B1" s="86"/>
      <c r="C1" s="80"/>
    </row>
    <row r="2" spans="1:16" ht="10.5" customHeight="1" x14ac:dyDescent="0.25">
      <c r="A2" s="87"/>
      <c r="B2" s="88"/>
      <c r="C2" s="80"/>
    </row>
    <row r="3" spans="1:16" s="44" customFormat="1" ht="25.5" customHeight="1" x14ac:dyDescent="0.25">
      <c r="A3" s="68" t="s">
        <v>0</v>
      </c>
      <c r="B3" s="69" t="s">
        <v>1</v>
      </c>
      <c r="C3" s="69"/>
      <c r="D3" s="71" t="s">
        <v>2</v>
      </c>
      <c r="E3" s="71" t="s">
        <v>426</v>
      </c>
      <c r="F3" s="71" t="s">
        <v>427</v>
      </c>
      <c r="G3" s="71" t="s">
        <v>456</v>
      </c>
      <c r="H3" s="71" t="s">
        <v>439</v>
      </c>
      <c r="I3" s="71" t="s">
        <v>440</v>
      </c>
      <c r="J3" s="71" t="s">
        <v>441</v>
      </c>
      <c r="K3" s="71" t="s">
        <v>827</v>
      </c>
      <c r="L3" s="71" t="s">
        <v>437</v>
      </c>
      <c r="M3" s="71" t="s">
        <v>442</v>
      </c>
      <c r="N3" s="71" t="s">
        <v>445</v>
      </c>
      <c r="O3" s="73" t="s">
        <v>438</v>
      </c>
      <c r="P3" s="73" t="s">
        <v>428</v>
      </c>
    </row>
    <row r="4" spans="1:16" s="5" customFormat="1" ht="13.5" customHeight="1" x14ac:dyDescent="0.25">
      <c r="A4" s="14">
        <v>1</v>
      </c>
      <c r="B4" s="17" t="s">
        <v>279</v>
      </c>
      <c r="C4" s="2" t="s">
        <v>693</v>
      </c>
      <c r="D4" s="22" t="s">
        <v>376</v>
      </c>
      <c r="E4" s="48">
        <v>80</v>
      </c>
      <c r="F4" s="48">
        <v>80</v>
      </c>
      <c r="G4" s="48">
        <v>84</v>
      </c>
      <c r="H4" s="48">
        <v>73</v>
      </c>
      <c r="I4" s="48">
        <v>73.5</v>
      </c>
      <c r="J4" s="48">
        <v>75</v>
      </c>
      <c r="K4" s="48">
        <v>69</v>
      </c>
      <c r="L4" s="48">
        <v>80</v>
      </c>
      <c r="M4" s="48">
        <v>95</v>
      </c>
      <c r="N4" s="48">
        <v>98</v>
      </c>
      <c r="O4" s="48">
        <v>98</v>
      </c>
      <c r="P4" s="58">
        <f>AVERAGE(E4:O4)</f>
        <v>82.318181818181813</v>
      </c>
    </row>
    <row r="5" spans="1:16" s="5" customFormat="1" ht="13.5" customHeight="1" x14ac:dyDescent="0.3">
      <c r="A5" s="14"/>
      <c r="B5" s="17"/>
      <c r="C5" s="2"/>
      <c r="D5" s="22"/>
      <c r="E5" s="30" t="str">
        <f t="shared" ref="E5:O5" si="0">IF(E4&gt;=90,"A",IF(E4&gt;=80,"B",IF(E4&gt;=70,"C",IF(E4&gt;=60,"D","F"))))</f>
        <v>B</v>
      </c>
      <c r="F5" s="30" t="str">
        <f t="shared" si="0"/>
        <v>B</v>
      </c>
      <c r="G5" s="30" t="str">
        <f t="shared" si="0"/>
        <v>B</v>
      </c>
      <c r="H5" s="30" t="str">
        <f t="shared" si="0"/>
        <v>C</v>
      </c>
      <c r="I5" s="30" t="str">
        <f t="shared" si="0"/>
        <v>C</v>
      </c>
      <c r="J5" s="30" t="str">
        <f t="shared" si="0"/>
        <v>C</v>
      </c>
      <c r="K5" s="30" t="str">
        <f t="shared" si="0"/>
        <v>D</v>
      </c>
      <c r="L5" s="30" t="str">
        <f t="shared" si="0"/>
        <v>B</v>
      </c>
      <c r="M5" s="30" t="str">
        <f t="shared" si="0"/>
        <v>A</v>
      </c>
      <c r="N5" s="30" t="str">
        <f t="shared" si="0"/>
        <v>A</v>
      </c>
      <c r="O5" s="30" t="str">
        <f t="shared" si="0"/>
        <v>A</v>
      </c>
      <c r="P5" s="58"/>
    </row>
    <row r="6" spans="1:16" s="5" customFormat="1" ht="13.5" customHeight="1" x14ac:dyDescent="0.25">
      <c r="A6" s="14">
        <v>2</v>
      </c>
      <c r="B6" s="17" t="s">
        <v>280</v>
      </c>
      <c r="C6" s="2" t="s">
        <v>695</v>
      </c>
      <c r="D6" s="22" t="s">
        <v>376</v>
      </c>
      <c r="E6" s="48">
        <v>86</v>
      </c>
      <c r="F6" s="48">
        <v>84</v>
      </c>
      <c r="G6" s="48">
        <v>84</v>
      </c>
      <c r="H6" s="48">
        <v>75</v>
      </c>
      <c r="I6" s="48">
        <v>76.5</v>
      </c>
      <c r="J6" s="48">
        <v>81</v>
      </c>
      <c r="K6" s="48">
        <v>76</v>
      </c>
      <c r="L6" s="48">
        <v>86</v>
      </c>
      <c r="M6" s="48">
        <v>95.5</v>
      </c>
      <c r="N6" s="48">
        <v>98</v>
      </c>
      <c r="O6" s="48">
        <v>99</v>
      </c>
      <c r="P6" s="58">
        <f t="shared" ref="P6:P40" si="1">AVERAGE(E6:O6)</f>
        <v>85.545454545454547</v>
      </c>
    </row>
    <row r="7" spans="1:16" s="5" customFormat="1" ht="13.5" customHeight="1" x14ac:dyDescent="0.3">
      <c r="A7" s="14"/>
      <c r="B7" s="17"/>
      <c r="D7" s="22"/>
      <c r="E7" s="30" t="str">
        <f t="shared" ref="E7:O7" si="2">IF(E6&gt;=90,"A",IF(E6&gt;=80,"B",IF(E6&gt;=70,"C",IF(E6&gt;=60,"D","F"))))</f>
        <v>B</v>
      </c>
      <c r="F7" s="30" t="str">
        <f t="shared" si="2"/>
        <v>B</v>
      </c>
      <c r="G7" s="30" t="str">
        <f t="shared" si="2"/>
        <v>B</v>
      </c>
      <c r="H7" s="30" t="str">
        <f t="shared" si="2"/>
        <v>C</v>
      </c>
      <c r="I7" s="30" t="str">
        <f t="shared" si="2"/>
        <v>C</v>
      </c>
      <c r="J7" s="30" t="str">
        <f t="shared" si="2"/>
        <v>B</v>
      </c>
      <c r="K7" s="30" t="str">
        <f t="shared" si="2"/>
        <v>C</v>
      </c>
      <c r="L7" s="30" t="str">
        <f t="shared" si="2"/>
        <v>B</v>
      </c>
      <c r="M7" s="30" t="str">
        <f t="shared" si="2"/>
        <v>A</v>
      </c>
      <c r="N7" s="30" t="str">
        <f t="shared" si="2"/>
        <v>A</v>
      </c>
      <c r="O7" s="30" t="str">
        <f t="shared" si="2"/>
        <v>A</v>
      </c>
      <c r="P7" s="58"/>
    </row>
    <row r="8" spans="1:16" s="5" customFormat="1" ht="13.5" customHeight="1" x14ac:dyDescent="0.25">
      <c r="A8" s="14">
        <v>3</v>
      </c>
      <c r="B8" s="17" t="s">
        <v>281</v>
      </c>
      <c r="C8" s="2" t="s">
        <v>694</v>
      </c>
      <c r="D8" s="22" t="s">
        <v>376</v>
      </c>
      <c r="E8" s="48">
        <v>91</v>
      </c>
      <c r="F8" s="48">
        <v>84</v>
      </c>
      <c r="G8" s="48">
        <v>95</v>
      </c>
      <c r="H8" s="48">
        <v>92</v>
      </c>
      <c r="I8" s="48">
        <v>90</v>
      </c>
      <c r="J8" s="48">
        <v>90</v>
      </c>
      <c r="K8" s="48">
        <v>85</v>
      </c>
      <c r="L8" s="48">
        <v>94</v>
      </c>
      <c r="M8" s="48">
        <v>95</v>
      </c>
      <c r="N8" s="48">
        <v>98</v>
      </c>
      <c r="O8" s="48">
        <v>96</v>
      </c>
      <c r="P8" s="58">
        <f t="shared" si="1"/>
        <v>91.818181818181813</v>
      </c>
    </row>
    <row r="9" spans="1:16" s="5" customFormat="1" ht="13.5" customHeight="1" x14ac:dyDescent="0.3">
      <c r="A9" s="14"/>
      <c r="B9" s="17"/>
      <c r="C9" s="2"/>
      <c r="D9" s="22"/>
      <c r="E9" s="30" t="str">
        <f t="shared" ref="E9:O9" si="3">IF(E8&gt;=90,"A",IF(E8&gt;=80,"B",IF(E8&gt;=70,"C",IF(E8&gt;=60,"D","F"))))</f>
        <v>A</v>
      </c>
      <c r="F9" s="30" t="str">
        <f t="shared" si="3"/>
        <v>B</v>
      </c>
      <c r="G9" s="30" t="str">
        <f t="shared" si="3"/>
        <v>A</v>
      </c>
      <c r="H9" s="30" t="str">
        <f t="shared" si="3"/>
        <v>A</v>
      </c>
      <c r="I9" s="30" t="str">
        <f t="shared" si="3"/>
        <v>A</v>
      </c>
      <c r="J9" s="30" t="str">
        <f t="shared" si="3"/>
        <v>A</v>
      </c>
      <c r="K9" s="30" t="str">
        <f t="shared" si="3"/>
        <v>B</v>
      </c>
      <c r="L9" s="30" t="str">
        <f t="shared" si="3"/>
        <v>A</v>
      </c>
      <c r="M9" s="30" t="str">
        <f t="shared" si="3"/>
        <v>A</v>
      </c>
      <c r="N9" s="30" t="str">
        <f t="shared" si="3"/>
        <v>A</v>
      </c>
      <c r="O9" s="30" t="str">
        <f t="shared" si="3"/>
        <v>A</v>
      </c>
      <c r="P9" s="58"/>
    </row>
    <row r="10" spans="1:16" s="5" customFormat="1" ht="13.5" customHeight="1" x14ac:dyDescent="0.25">
      <c r="A10" s="14">
        <v>4</v>
      </c>
      <c r="B10" s="17" t="s">
        <v>282</v>
      </c>
      <c r="C10" s="2" t="s">
        <v>696</v>
      </c>
      <c r="D10" s="22" t="s">
        <v>376</v>
      </c>
      <c r="E10" s="48">
        <v>74</v>
      </c>
      <c r="F10" s="48">
        <v>73</v>
      </c>
      <c r="G10" s="48">
        <v>73</v>
      </c>
      <c r="H10" s="48">
        <v>65</v>
      </c>
      <c r="I10" s="48">
        <v>67.5</v>
      </c>
      <c r="J10" s="48">
        <v>81</v>
      </c>
      <c r="K10" s="48">
        <v>75</v>
      </c>
      <c r="L10" s="48">
        <v>85</v>
      </c>
      <c r="M10" s="48">
        <v>96.5</v>
      </c>
      <c r="N10" s="48">
        <v>94</v>
      </c>
      <c r="O10" s="48">
        <v>100</v>
      </c>
      <c r="P10" s="58">
        <f t="shared" si="1"/>
        <v>80.36363636363636</v>
      </c>
    </row>
    <row r="11" spans="1:16" s="5" customFormat="1" ht="13.5" customHeight="1" x14ac:dyDescent="0.3">
      <c r="A11" s="14"/>
      <c r="B11" s="17"/>
      <c r="C11" s="2"/>
      <c r="D11" s="22"/>
      <c r="E11" s="30" t="str">
        <f t="shared" ref="E11:O11" si="4">IF(E10&gt;=90,"A",IF(E10&gt;=80,"B",IF(E10&gt;=70,"C",IF(E10&gt;=60,"D","F"))))</f>
        <v>C</v>
      </c>
      <c r="F11" s="30" t="str">
        <f t="shared" si="4"/>
        <v>C</v>
      </c>
      <c r="G11" s="30" t="str">
        <f t="shared" si="4"/>
        <v>C</v>
      </c>
      <c r="H11" s="30" t="str">
        <f t="shared" si="4"/>
        <v>D</v>
      </c>
      <c r="I11" s="30" t="str">
        <f t="shared" si="4"/>
        <v>D</v>
      </c>
      <c r="J11" s="30" t="str">
        <f t="shared" si="4"/>
        <v>B</v>
      </c>
      <c r="K11" s="30" t="str">
        <f t="shared" si="4"/>
        <v>C</v>
      </c>
      <c r="L11" s="30" t="str">
        <f t="shared" si="4"/>
        <v>B</v>
      </c>
      <c r="M11" s="30" t="str">
        <f t="shared" si="4"/>
        <v>A</v>
      </c>
      <c r="N11" s="30" t="str">
        <f t="shared" si="4"/>
        <v>A</v>
      </c>
      <c r="O11" s="30" t="str">
        <f t="shared" si="4"/>
        <v>A</v>
      </c>
      <c r="P11" s="58"/>
    </row>
    <row r="12" spans="1:16" s="5" customFormat="1" ht="13.5" customHeight="1" x14ac:dyDescent="0.25">
      <c r="A12" s="14">
        <v>5</v>
      </c>
      <c r="B12" s="17" t="s">
        <v>36</v>
      </c>
      <c r="C12" s="2" t="s">
        <v>697</v>
      </c>
      <c r="D12" s="22" t="s">
        <v>376</v>
      </c>
      <c r="E12" s="48">
        <v>85</v>
      </c>
      <c r="F12" s="48">
        <v>83</v>
      </c>
      <c r="G12" s="48">
        <v>71</v>
      </c>
      <c r="H12" s="48">
        <v>69</v>
      </c>
      <c r="I12" s="48">
        <v>70</v>
      </c>
      <c r="J12" s="48">
        <v>77</v>
      </c>
      <c r="K12" s="48">
        <v>72</v>
      </c>
      <c r="L12" s="48">
        <v>87</v>
      </c>
      <c r="M12" s="48">
        <v>96.5</v>
      </c>
      <c r="N12" s="48">
        <v>98</v>
      </c>
      <c r="O12" s="48">
        <v>98</v>
      </c>
      <c r="P12" s="58">
        <f t="shared" si="1"/>
        <v>82.409090909090907</v>
      </c>
    </row>
    <row r="13" spans="1:16" s="5" customFormat="1" ht="13.5" customHeight="1" x14ac:dyDescent="0.3">
      <c r="A13" s="14"/>
      <c r="B13" s="17"/>
      <c r="C13" s="2"/>
      <c r="D13" s="22"/>
      <c r="E13" s="30" t="str">
        <f t="shared" ref="E13:O13" si="5">IF(E12&gt;=90,"A",IF(E12&gt;=80,"B",IF(E12&gt;=70,"C",IF(E12&gt;=60,"D","F"))))</f>
        <v>B</v>
      </c>
      <c r="F13" s="30" t="str">
        <f t="shared" si="5"/>
        <v>B</v>
      </c>
      <c r="G13" s="30" t="str">
        <f t="shared" si="5"/>
        <v>C</v>
      </c>
      <c r="H13" s="30" t="str">
        <f t="shared" si="5"/>
        <v>D</v>
      </c>
      <c r="I13" s="30" t="str">
        <f t="shared" si="5"/>
        <v>C</v>
      </c>
      <c r="J13" s="30" t="str">
        <f t="shared" si="5"/>
        <v>C</v>
      </c>
      <c r="K13" s="30" t="str">
        <f t="shared" si="5"/>
        <v>C</v>
      </c>
      <c r="L13" s="30" t="str">
        <f t="shared" si="5"/>
        <v>B</v>
      </c>
      <c r="M13" s="30" t="str">
        <f t="shared" si="5"/>
        <v>A</v>
      </c>
      <c r="N13" s="30" t="str">
        <f t="shared" si="5"/>
        <v>A</v>
      </c>
      <c r="O13" s="30" t="str">
        <f t="shared" si="5"/>
        <v>A</v>
      </c>
      <c r="P13" s="58"/>
    </row>
    <row r="14" spans="1:16" s="5" customFormat="1" ht="13.5" customHeight="1" x14ac:dyDescent="0.25">
      <c r="A14" s="14">
        <v>6</v>
      </c>
      <c r="B14" s="17" t="s">
        <v>283</v>
      </c>
      <c r="C14" s="2" t="s">
        <v>698</v>
      </c>
      <c r="D14" s="22" t="s">
        <v>375</v>
      </c>
      <c r="E14" s="48">
        <v>85</v>
      </c>
      <c r="F14" s="48">
        <v>65</v>
      </c>
      <c r="G14" s="48">
        <v>86</v>
      </c>
      <c r="H14" s="48">
        <v>80</v>
      </c>
      <c r="I14" s="48">
        <v>81</v>
      </c>
      <c r="J14" s="48">
        <v>80</v>
      </c>
      <c r="K14" s="48">
        <v>68</v>
      </c>
      <c r="L14" s="48">
        <v>77</v>
      </c>
      <c r="M14" s="48">
        <v>81.5</v>
      </c>
      <c r="N14" s="48">
        <v>95</v>
      </c>
      <c r="O14" s="48">
        <v>98</v>
      </c>
      <c r="P14" s="58">
        <f t="shared" si="1"/>
        <v>81.5</v>
      </c>
    </row>
    <row r="15" spans="1:16" s="5" customFormat="1" ht="13.5" customHeight="1" x14ac:dyDescent="0.3">
      <c r="A15" s="14"/>
      <c r="B15" s="17"/>
      <c r="C15" s="2"/>
      <c r="D15" s="22"/>
      <c r="E15" s="30" t="str">
        <f t="shared" ref="E15:O15" si="6">IF(E14&gt;=90,"A",IF(E14&gt;=80,"B",IF(E14&gt;=70,"C",IF(E14&gt;=60,"D","F"))))</f>
        <v>B</v>
      </c>
      <c r="F15" s="30" t="str">
        <f t="shared" si="6"/>
        <v>D</v>
      </c>
      <c r="G15" s="30" t="str">
        <f t="shared" si="6"/>
        <v>B</v>
      </c>
      <c r="H15" s="30" t="str">
        <f t="shared" si="6"/>
        <v>B</v>
      </c>
      <c r="I15" s="30" t="str">
        <f t="shared" si="6"/>
        <v>B</v>
      </c>
      <c r="J15" s="30" t="str">
        <f t="shared" si="6"/>
        <v>B</v>
      </c>
      <c r="K15" s="30" t="str">
        <f t="shared" si="6"/>
        <v>D</v>
      </c>
      <c r="L15" s="30" t="str">
        <f t="shared" si="6"/>
        <v>C</v>
      </c>
      <c r="M15" s="30" t="str">
        <f t="shared" si="6"/>
        <v>B</v>
      </c>
      <c r="N15" s="30" t="str">
        <f t="shared" si="6"/>
        <v>A</v>
      </c>
      <c r="O15" s="30" t="str">
        <f t="shared" si="6"/>
        <v>A</v>
      </c>
      <c r="P15" s="58"/>
    </row>
    <row r="16" spans="1:16" s="5" customFormat="1" ht="13.5" customHeight="1" x14ac:dyDescent="0.25">
      <c r="A16" s="14">
        <v>7</v>
      </c>
      <c r="B16" s="17" t="s">
        <v>284</v>
      </c>
      <c r="C16" s="2" t="s">
        <v>699</v>
      </c>
      <c r="D16" s="22" t="s">
        <v>376</v>
      </c>
      <c r="E16" s="48">
        <v>82</v>
      </c>
      <c r="F16" s="48">
        <v>92</v>
      </c>
      <c r="G16" s="48">
        <v>92</v>
      </c>
      <c r="H16" s="48">
        <v>75</v>
      </c>
      <c r="I16" s="48">
        <v>73</v>
      </c>
      <c r="J16" s="48">
        <v>84</v>
      </c>
      <c r="K16" s="48">
        <v>80</v>
      </c>
      <c r="L16" s="48">
        <v>93</v>
      </c>
      <c r="M16" s="48">
        <v>93</v>
      </c>
      <c r="N16" s="48">
        <v>99</v>
      </c>
      <c r="O16" s="48">
        <v>100</v>
      </c>
      <c r="P16" s="58">
        <f t="shared" si="1"/>
        <v>87.545454545454547</v>
      </c>
    </row>
    <row r="17" spans="1:16" s="5" customFormat="1" ht="13.5" customHeight="1" x14ac:dyDescent="0.3">
      <c r="A17" s="14"/>
      <c r="B17" s="17"/>
      <c r="C17" s="2"/>
      <c r="D17" s="22"/>
      <c r="E17" s="30" t="str">
        <f t="shared" ref="E17:O17" si="7">IF(E16&gt;=90,"A",IF(E16&gt;=80,"B",IF(E16&gt;=70,"C",IF(E16&gt;=60,"D","F"))))</f>
        <v>B</v>
      </c>
      <c r="F17" s="30" t="str">
        <f t="shared" si="7"/>
        <v>A</v>
      </c>
      <c r="G17" s="30" t="str">
        <f t="shared" si="7"/>
        <v>A</v>
      </c>
      <c r="H17" s="30" t="str">
        <f t="shared" si="7"/>
        <v>C</v>
      </c>
      <c r="I17" s="30" t="str">
        <f t="shared" si="7"/>
        <v>C</v>
      </c>
      <c r="J17" s="30" t="str">
        <f t="shared" si="7"/>
        <v>B</v>
      </c>
      <c r="K17" s="30" t="str">
        <f t="shared" si="7"/>
        <v>B</v>
      </c>
      <c r="L17" s="30" t="str">
        <f t="shared" si="7"/>
        <v>A</v>
      </c>
      <c r="M17" s="30" t="str">
        <f t="shared" si="7"/>
        <v>A</v>
      </c>
      <c r="N17" s="30" t="str">
        <f t="shared" si="7"/>
        <v>A</v>
      </c>
      <c r="O17" s="30" t="str">
        <f t="shared" si="7"/>
        <v>A</v>
      </c>
      <c r="P17" s="58"/>
    </row>
    <row r="18" spans="1:16" s="5" customFormat="1" ht="13.5" customHeight="1" x14ac:dyDescent="0.25">
      <c r="A18" s="14">
        <v>8</v>
      </c>
      <c r="B18" s="17" t="s">
        <v>285</v>
      </c>
      <c r="C18" s="2" t="s">
        <v>700</v>
      </c>
      <c r="D18" s="22" t="s">
        <v>375</v>
      </c>
      <c r="E18" s="48">
        <v>67</v>
      </c>
      <c r="F18" s="48">
        <v>67</v>
      </c>
      <c r="G18" s="48">
        <v>60</v>
      </c>
      <c r="H18" s="48">
        <v>68</v>
      </c>
      <c r="I18" s="48">
        <v>60</v>
      </c>
      <c r="J18" s="48">
        <v>74</v>
      </c>
      <c r="K18" s="48">
        <v>78</v>
      </c>
      <c r="L18" s="48">
        <v>70</v>
      </c>
      <c r="M18" s="48">
        <v>91.5</v>
      </c>
      <c r="N18" s="48">
        <v>95</v>
      </c>
      <c r="O18" s="48">
        <v>94</v>
      </c>
      <c r="P18" s="58">
        <f t="shared" si="1"/>
        <v>74.954545454545453</v>
      </c>
    </row>
    <row r="19" spans="1:16" s="5" customFormat="1" ht="13.5" customHeight="1" x14ac:dyDescent="0.3">
      <c r="A19" s="14"/>
      <c r="B19" s="17"/>
      <c r="C19" s="2"/>
      <c r="D19" s="22"/>
      <c r="E19" s="30" t="str">
        <f t="shared" ref="E19:O19" si="8">IF(E18&gt;=90,"A",IF(E18&gt;=80,"B",IF(E18&gt;=70,"C",IF(E18&gt;=60,"D","F"))))</f>
        <v>D</v>
      </c>
      <c r="F19" s="30" t="str">
        <f t="shared" si="8"/>
        <v>D</v>
      </c>
      <c r="G19" s="30" t="str">
        <f t="shared" si="8"/>
        <v>D</v>
      </c>
      <c r="H19" s="30" t="str">
        <f t="shared" si="8"/>
        <v>D</v>
      </c>
      <c r="I19" s="30" t="str">
        <f t="shared" si="8"/>
        <v>D</v>
      </c>
      <c r="J19" s="30" t="str">
        <f t="shared" si="8"/>
        <v>C</v>
      </c>
      <c r="K19" s="30" t="str">
        <f t="shared" si="8"/>
        <v>C</v>
      </c>
      <c r="L19" s="30" t="str">
        <f t="shared" si="8"/>
        <v>C</v>
      </c>
      <c r="M19" s="30" t="str">
        <f t="shared" si="8"/>
        <v>A</v>
      </c>
      <c r="N19" s="30" t="str">
        <f t="shared" si="8"/>
        <v>A</v>
      </c>
      <c r="O19" s="30" t="str">
        <f t="shared" si="8"/>
        <v>A</v>
      </c>
      <c r="P19" s="58"/>
    </row>
    <row r="20" spans="1:16" s="5" customFormat="1" ht="13.5" customHeight="1" x14ac:dyDescent="0.25">
      <c r="A20" s="14">
        <v>9</v>
      </c>
      <c r="B20" s="17" t="s">
        <v>286</v>
      </c>
      <c r="C20" s="2" t="s">
        <v>701</v>
      </c>
      <c r="D20" s="22" t="s">
        <v>376</v>
      </c>
      <c r="E20" s="48">
        <v>94</v>
      </c>
      <c r="F20" s="48">
        <v>89</v>
      </c>
      <c r="G20" s="48">
        <v>91</v>
      </c>
      <c r="H20" s="48">
        <v>77</v>
      </c>
      <c r="I20" s="48">
        <v>79</v>
      </c>
      <c r="J20" s="48">
        <v>100</v>
      </c>
      <c r="K20" s="48">
        <v>82</v>
      </c>
      <c r="L20" s="48">
        <v>98</v>
      </c>
      <c r="M20" s="48">
        <v>96.5</v>
      </c>
      <c r="N20" s="48">
        <v>99</v>
      </c>
      <c r="O20" s="48">
        <v>100</v>
      </c>
      <c r="P20" s="58">
        <f t="shared" si="1"/>
        <v>91.409090909090907</v>
      </c>
    </row>
    <row r="21" spans="1:16" s="5" customFormat="1" ht="13.5" customHeight="1" x14ac:dyDescent="0.3">
      <c r="A21" s="14"/>
      <c r="B21" s="17"/>
      <c r="C21" s="2"/>
      <c r="D21" s="22"/>
      <c r="E21" s="30" t="str">
        <f t="shared" ref="E21:O21" si="9">IF(E20&gt;=90,"A",IF(E20&gt;=80,"B",IF(E20&gt;=70,"C",IF(E20&gt;=60,"D","F"))))</f>
        <v>A</v>
      </c>
      <c r="F21" s="30" t="str">
        <f t="shared" si="9"/>
        <v>B</v>
      </c>
      <c r="G21" s="30" t="str">
        <f t="shared" si="9"/>
        <v>A</v>
      </c>
      <c r="H21" s="30" t="str">
        <f t="shared" si="9"/>
        <v>C</v>
      </c>
      <c r="I21" s="30" t="str">
        <f t="shared" si="9"/>
        <v>C</v>
      </c>
      <c r="J21" s="30" t="str">
        <f t="shared" si="9"/>
        <v>A</v>
      </c>
      <c r="K21" s="30" t="str">
        <f t="shared" si="9"/>
        <v>B</v>
      </c>
      <c r="L21" s="30" t="str">
        <f t="shared" si="9"/>
        <v>A</v>
      </c>
      <c r="M21" s="30" t="str">
        <f t="shared" si="9"/>
        <v>A</v>
      </c>
      <c r="N21" s="30" t="str">
        <f t="shared" si="9"/>
        <v>A</v>
      </c>
      <c r="O21" s="30" t="str">
        <f t="shared" si="9"/>
        <v>A</v>
      </c>
      <c r="P21" s="58"/>
    </row>
    <row r="22" spans="1:16" s="5" customFormat="1" ht="13.5" customHeight="1" x14ac:dyDescent="0.25">
      <c r="A22" s="14">
        <v>10</v>
      </c>
      <c r="B22" s="17" t="s">
        <v>381</v>
      </c>
      <c r="C22" s="2" t="s">
        <v>702</v>
      </c>
      <c r="D22" s="22" t="s">
        <v>375</v>
      </c>
      <c r="E22" s="22">
        <v>53</v>
      </c>
      <c r="F22" s="38">
        <v>72</v>
      </c>
      <c r="G22" s="48">
        <v>81</v>
      </c>
      <c r="H22" s="48">
        <v>76</v>
      </c>
      <c r="I22" s="48">
        <v>82</v>
      </c>
      <c r="J22" s="48">
        <v>83</v>
      </c>
      <c r="K22" s="48">
        <v>81</v>
      </c>
      <c r="L22" s="48">
        <v>92</v>
      </c>
      <c r="M22" s="48">
        <v>80</v>
      </c>
      <c r="N22" s="48">
        <v>98</v>
      </c>
      <c r="O22" s="48">
        <v>97</v>
      </c>
      <c r="P22" s="58">
        <f t="shared" si="1"/>
        <v>81.36363636363636</v>
      </c>
    </row>
    <row r="23" spans="1:16" s="5" customFormat="1" ht="13.5" customHeight="1" x14ac:dyDescent="0.3">
      <c r="A23" s="14"/>
      <c r="B23" s="17"/>
      <c r="C23" s="2"/>
      <c r="D23" s="22"/>
      <c r="E23" s="30" t="str">
        <f t="shared" ref="E23:O23" si="10">IF(E22&gt;=90,"A",IF(E22&gt;=80,"B",IF(E22&gt;=70,"C",IF(E22&gt;=60,"D","F"))))</f>
        <v>F</v>
      </c>
      <c r="F23" s="30" t="str">
        <f t="shared" si="10"/>
        <v>C</v>
      </c>
      <c r="G23" s="30" t="str">
        <f t="shared" si="10"/>
        <v>B</v>
      </c>
      <c r="H23" s="30" t="str">
        <f t="shared" si="10"/>
        <v>C</v>
      </c>
      <c r="I23" s="30" t="str">
        <f t="shared" si="10"/>
        <v>B</v>
      </c>
      <c r="J23" s="30" t="str">
        <f t="shared" si="10"/>
        <v>B</v>
      </c>
      <c r="K23" s="30" t="str">
        <f t="shared" si="10"/>
        <v>B</v>
      </c>
      <c r="L23" s="30" t="str">
        <f t="shared" si="10"/>
        <v>A</v>
      </c>
      <c r="M23" s="30" t="str">
        <f t="shared" si="10"/>
        <v>B</v>
      </c>
      <c r="N23" s="30" t="str">
        <f t="shared" si="10"/>
        <v>A</v>
      </c>
      <c r="O23" s="30" t="str">
        <f t="shared" si="10"/>
        <v>A</v>
      </c>
      <c r="P23" s="58"/>
    </row>
    <row r="24" spans="1:16" s="5" customFormat="1" ht="13.5" customHeight="1" x14ac:dyDescent="0.25">
      <c r="A24" s="14">
        <v>11</v>
      </c>
      <c r="B24" s="17" t="s">
        <v>287</v>
      </c>
      <c r="C24" s="2" t="s">
        <v>703</v>
      </c>
      <c r="D24" s="22" t="s">
        <v>376</v>
      </c>
      <c r="E24" s="48">
        <v>80</v>
      </c>
      <c r="F24" s="48">
        <v>79</v>
      </c>
      <c r="G24" s="48">
        <v>78</v>
      </c>
      <c r="H24" s="48">
        <v>86</v>
      </c>
      <c r="I24" s="48">
        <v>69</v>
      </c>
      <c r="J24" s="48">
        <v>70</v>
      </c>
      <c r="K24" s="48">
        <v>75</v>
      </c>
      <c r="L24" s="48">
        <v>85</v>
      </c>
      <c r="M24" s="48">
        <v>91.5</v>
      </c>
      <c r="N24" s="48">
        <v>97</v>
      </c>
      <c r="O24" s="48">
        <v>98</v>
      </c>
      <c r="P24" s="58">
        <f t="shared" si="1"/>
        <v>82.590909090909093</v>
      </c>
    </row>
    <row r="25" spans="1:16" s="5" customFormat="1" ht="13.5" customHeight="1" x14ac:dyDescent="0.3">
      <c r="A25" s="14"/>
      <c r="B25" s="17"/>
      <c r="C25" s="2"/>
      <c r="D25" s="22"/>
      <c r="E25" s="30" t="str">
        <f t="shared" ref="E25:O25" si="11">IF(E24&gt;=90,"A",IF(E24&gt;=80,"B",IF(E24&gt;=70,"C",IF(E24&gt;=60,"D","F"))))</f>
        <v>B</v>
      </c>
      <c r="F25" s="30" t="str">
        <f t="shared" si="11"/>
        <v>C</v>
      </c>
      <c r="G25" s="30" t="str">
        <f t="shared" si="11"/>
        <v>C</v>
      </c>
      <c r="H25" s="30" t="str">
        <f t="shared" si="11"/>
        <v>B</v>
      </c>
      <c r="I25" s="30" t="str">
        <f t="shared" si="11"/>
        <v>D</v>
      </c>
      <c r="J25" s="30" t="str">
        <f t="shared" si="11"/>
        <v>C</v>
      </c>
      <c r="K25" s="30" t="str">
        <f t="shared" si="11"/>
        <v>C</v>
      </c>
      <c r="L25" s="30" t="str">
        <f t="shared" si="11"/>
        <v>B</v>
      </c>
      <c r="M25" s="30" t="str">
        <f t="shared" si="11"/>
        <v>A</v>
      </c>
      <c r="N25" s="30" t="str">
        <f t="shared" si="11"/>
        <v>A</v>
      </c>
      <c r="O25" s="30" t="str">
        <f t="shared" si="11"/>
        <v>A</v>
      </c>
      <c r="P25" s="58"/>
    </row>
    <row r="26" spans="1:16" s="5" customFormat="1" ht="13.5" customHeight="1" x14ac:dyDescent="0.25">
      <c r="A26" s="14">
        <v>12</v>
      </c>
      <c r="B26" s="17" t="s">
        <v>288</v>
      </c>
      <c r="C26" s="2" t="s">
        <v>704</v>
      </c>
      <c r="D26" s="22" t="s">
        <v>375</v>
      </c>
      <c r="E26" s="48">
        <v>45</v>
      </c>
      <c r="F26" s="62">
        <v>0</v>
      </c>
      <c r="G26" s="48">
        <v>91</v>
      </c>
      <c r="H26" s="48">
        <v>90</v>
      </c>
      <c r="I26" s="48">
        <v>76</v>
      </c>
      <c r="J26" s="48">
        <v>82</v>
      </c>
      <c r="K26" s="48">
        <v>81</v>
      </c>
      <c r="L26" s="48" t="s">
        <v>430</v>
      </c>
      <c r="M26" s="48">
        <v>83</v>
      </c>
      <c r="N26" s="48">
        <v>97</v>
      </c>
      <c r="O26" s="48">
        <v>96</v>
      </c>
      <c r="P26" s="58">
        <f t="shared" si="1"/>
        <v>74.099999999999994</v>
      </c>
    </row>
    <row r="27" spans="1:16" s="5" customFormat="1" ht="13.5" customHeight="1" x14ac:dyDescent="0.3">
      <c r="A27" s="14"/>
      <c r="B27" s="17"/>
      <c r="C27" s="2"/>
      <c r="D27" s="22"/>
      <c r="E27" s="30" t="str">
        <f>IF(E26&gt;=90,"A",IF(E26&gt;=80,"B",IF(E26&gt;=70,"C",IF(E26&gt;=60,"D","F"))))</f>
        <v>F</v>
      </c>
      <c r="F27" s="62"/>
      <c r="G27" s="30" t="str">
        <f t="shared" ref="G27:O27" si="12">IF(G26&gt;=90,"A",IF(G26&gt;=80,"B",IF(G26&gt;=70,"C",IF(G26&gt;=60,"D","F"))))</f>
        <v>A</v>
      </c>
      <c r="H27" s="30" t="str">
        <f t="shared" si="12"/>
        <v>A</v>
      </c>
      <c r="I27" s="30" t="str">
        <f t="shared" si="12"/>
        <v>C</v>
      </c>
      <c r="J27" s="30" t="str">
        <f t="shared" si="12"/>
        <v>B</v>
      </c>
      <c r="K27" s="30" t="str">
        <f t="shared" si="12"/>
        <v>B</v>
      </c>
      <c r="L27" s="30" t="str">
        <f t="shared" si="12"/>
        <v>A</v>
      </c>
      <c r="M27" s="30" t="str">
        <f t="shared" si="12"/>
        <v>B</v>
      </c>
      <c r="N27" s="30" t="str">
        <f t="shared" si="12"/>
        <v>A</v>
      </c>
      <c r="O27" s="30" t="str">
        <f t="shared" si="12"/>
        <v>A</v>
      </c>
      <c r="P27" s="58"/>
    </row>
    <row r="28" spans="1:16" s="5" customFormat="1" ht="13.5" customHeight="1" x14ac:dyDescent="0.25">
      <c r="A28" s="14">
        <v>13</v>
      </c>
      <c r="B28" s="17" t="s">
        <v>290</v>
      </c>
      <c r="C28" s="2" t="s">
        <v>705</v>
      </c>
      <c r="D28" s="22" t="s">
        <v>375</v>
      </c>
      <c r="E28" s="48">
        <v>93</v>
      </c>
      <c r="F28" s="48">
        <v>84</v>
      </c>
      <c r="G28" s="48">
        <v>99</v>
      </c>
      <c r="H28" s="48">
        <v>93</v>
      </c>
      <c r="I28" s="48">
        <v>94</v>
      </c>
      <c r="J28" s="48">
        <v>93</v>
      </c>
      <c r="K28" s="48">
        <v>90</v>
      </c>
      <c r="L28" s="48">
        <v>90</v>
      </c>
      <c r="M28" s="48">
        <v>96.5</v>
      </c>
      <c r="N28" s="48">
        <v>99</v>
      </c>
      <c r="O28" s="48">
        <v>97</v>
      </c>
      <c r="P28" s="58">
        <f t="shared" si="1"/>
        <v>93.5</v>
      </c>
    </row>
    <row r="29" spans="1:16" s="5" customFormat="1" ht="13.5" customHeight="1" x14ac:dyDescent="0.3">
      <c r="A29" s="14"/>
      <c r="B29" s="17"/>
      <c r="C29" s="2"/>
      <c r="D29" s="22"/>
      <c r="E29" s="30" t="str">
        <f t="shared" ref="E29:O29" si="13">IF(E28&gt;=90,"A",IF(E28&gt;=80,"B",IF(E28&gt;=70,"C",IF(E28&gt;=60,"D","F"))))</f>
        <v>A</v>
      </c>
      <c r="F29" s="30" t="str">
        <f t="shared" si="13"/>
        <v>B</v>
      </c>
      <c r="G29" s="30" t="str">
        <f t="shared" si="13"/>
        <v>A</v>
      </c>
      <c r="H29" s="30" t="str">
        <f t="shared" si="13"/>
        <v>A</v>
      </c>
      <c r="I29" s="30" t="str">
        <f t="shared" si="13"/>
        <v>A</v>
      </c>
      <c r="J29" s="30" t="str">
        <f t="shared" si="13"/>
        <v>A</v>
      </c>
      <c r="K29" s="30" t="str">
        <f t="shared" si="13"/>
        <v>A</v>
      </c>
      <c r="L29" s="30" t="str">
        <f t="shared" si="13"/>
        <v>A</v>
      </c>
      <c r="M29" s="30" t="str">
        <f t="shared" si="13"/>
        <v>A</v>
      </c>
      <c r="N29" s="30" t="str">
        <f t="shared" si="13"/>
        <v>A</v>
      </c>
      <c r="O29" s="30" t="str">
        <f t="shared" si="13"/>
        <v>A</v>
      </c>
      <c r="P29" s="58"/>
    </row>
    <row r="30" spans="1:16" s="5" customFormat="1" ht="13.5" customHeight="1" x14ac:dyDescent="0.25">
      <c r="A30" s="14">
        <v>14</v>
      </c>
      <c r="B30" s="17" t="s">
        <v>291</v>
      </c>
      <c r="C30" s="2" t="s">
        <v>706</v>
      </c>
      <c r="D30" s="22" t="s">
        <v>375</v>
      </c>
      <c r="E30" s="48">
        <v>94</v>
      </c>
      <c r="F30" s="48">
        <v>78</v>
      </c>
      <c r="G30" s="48">
        <v>90</v>
      </c>
      <c r="H30" s="48">
        <v>92</v>
      </c>
      <c r="I30" s="48">
        <v>85</v>
      </c>
      <c r="J30" s="48">
        <v>89</v>
      </c>
      <c r="K30" s="48">
        <v>88</v>
      </c>
      <c r="L30" s="48">
        <v>90.5</v>
      </c>
      <c r="M30" s="48">
        <v>96.5</v>
      </c>
      <c r="N30" s="48">
        <v>96</v>
      </c>
      <c r="O30" s="48">
        <v>100</v>
      </c>
      <c r="P30" s="58">
        <f t="shared" si="1"/>
        <v>90.818181818181813</v>
      </c>
    </row>
    <row r="31" spans="1:16" s="5" customFormat="1" ht="13.5" customHeight="1" x14ac:dyDescent="0.3">
      <c r="A31" s="14"/>
      <c r="B31" s="17"/>
      <c r="C31" s="2"/>
      <c r="D31" s="22"/>
      <c r="E31" s="30" t="str">
        <f t="shared" ref="E31:O31" si="14">IF(E30&gt;=90,"A",IF(E30&gt;=80,"B",IF(E30&gt;=70,"C",IF(E30&gt;=60,"D","F"))))</f>
        <v>A</v>
      </c>
      <c r="F31" s="30" t="str">
        <f t="shared" si="14"/>
        <v>C</v>
      </c>
      <c r="G31" s="30" t="str">
        <f t="shared" si="14"/>
        <v>A</v>
      </c>
      <c r="H31" s="30" t="str">
        <f t="shared" si="14"/>
        <v>A</v>
      </c>
      <c r="I31" s="30" t="str">
        <f t="shared" si="14"/>
        <v>B</v>
      </c>
      <c r="J31" s="30" t="str">
        <f t="shared" si="14"/>
        <v>B</v>
      </c>
      <c r="K31" s="30" t="str">
        <f t="shared" si="14"/>
        <v>B</v>
      </c>
      <c r="L31" s="30" t="str">
        <f t="shared" si="14"/>
        <v>A</v>
      </c>
      <c r="M31" s="30" t="str">
        <f t="shared" si="14"/>
        <v>A</v>
      </c>
      <c r="N31" s="30" t="str">
        <f t="shared" si="14"/>
        <v>A</v>
      </c>
      <c r="O31" s="30" t="str">
        <f t="shared" si="14"/>
        <v>A</v>
      </c>
      <c r="P31" s="58"/>
    </row>
    <row r="32" spans="1:16" s="5" customFormat="1" ht="13.5" customHeight="1" x14ac:dyDescent="0.25">
      <c r="A32" s="14">
        <v>15</v>
      </c>
      <c r="B32" s="17" t="s">
        <v>292</v>
      </c>
      <c r="C32" s="2" t="s">
        <v>707</v>
      </c>
      <c r="D32" s="22" t="s">
        <v>375</v>
      </c>
      <c r="E32" s="48">
        <v>94</v>
      </c>
      <c r="F32" s="48">
        <v>90</v>
      </c>
      <c r="G32" s="48">
        <v>99</v>
      </c>
      <c r="H32" s="48">
        <v>97</v>
      </c>
      <c r="I32" s="48">
        <v>96</v>
      </c>
      <c r="J32" s="48">
        <v>100</v>
      </c>
      <c r="K32" s="48">
        <v>96</v>
      </c>
      <c r="L32" s="48">
        <v>93.5</v>
      </c>
      <c r="M32" s="48">
        <v>96.5</v>
      </c>
      <c r="N32" s="48">
        <v>98</v>
      </c>
      <c r="O32" s="48">
        <v>100</v>
      </c>
      <c r="P32" s="58">
        <f t="shared" si="1"/>
        <v>96.36363636363636</v>
      </c>
    </row>
    <row r="33" spans="1:16" s="5" customFormat="1" ht="13.5" customHeight="1" x14ac:dyDescent="0.3">
      <c r="A33" s="14"/>
      <c r="B33" s="17"/>
      <c r="C33" s="2"/>
      <c r="D33" s="22"/>
      <c r="E33" s="30" t="str">
        <f t="shared" ref="E33:O33" si="15">IF(E32&gt;=90,"A",IF(E32&gt;=80,"B",IF(E32&gt;=70,"C",IF(E32&gt;=60,"D","F"))))</f>
        <v>A</v>
      </c>
      <c r="F33" s="30" t="str">
        <f t="shared" si="15"/>
        <v>A</v>
      </c>
      <c r="G33" s="30" t="str">
        <f t="shared" si="15"/>
        <v>A</v>
      </c>
      <c r="H33" s="30" t="str">
        <f t="shared" si="15"/>
        <v>A</v>
      </c>
      <c r="I33" s="30" t="str">
        <f t="shared" si="15"/>
        <v>A</v>
      </c>
      <c r="J33" s="30" t="str">
        <f t="shared" si="15"/>
        <v>A</v>
      </c>
      <c r="K33" s="30" t="str">
        <f t="shared" si="15"/>
        <v>A</v>
      </c>
      <c r="L33" s="30" t="str">
        <f t="shared" si="15"/>
        <v>A</v>
      </c>
      <c r="M33" s="30" t="str">
        <f t="shared" si="15"/>
        <v>A</v>
      </c>
      <c r="N33" s="30" t="str">
        <f t="shared" si="15"/>
        <v>A</v>
      </c>
      <c r="O33" s="30" t="str">
        <f t="shared" si="15"/>
        <v>A</v>
      </c>
      <c r="P33" s="58"/>
    </row>
    <row r="34" spans="1:16" s="5" customFormat="1" ht="13.5" customHeight="1" x14ac:dyDescent="0.25">
      <c r="A34" s="14">
        <v>16</v>
      </c>
      <c r="B34" s="17" t="s">
        <v>293</v>
      </c>
      <c r="C34" s="2" t="s">
        <v>708</v>
      </c>
      <c r="D34" s="22" t="s">
        <v>375</v>
      </c>
      <c r="E34" s="48">
        <v>77</v>
      </c>
      <c r="F34" s="48">
        <v>94</v>
      </c>
      <c r="G34" s="48">
        <v>84</v>
      </c>
      <c r="H34" s="48">
        <v>81</v>
      </c>
      <c r="I34" s="48">
        <v>64</v>
      </c>
      <c r="J34" s="48">
        <v>85</v>
      </c>
      <c r="K34" s="48">
        <v>72</v>
      </c>
      <c r="L34" s="48">
        <v>90</v>
      </c>
      <c r="M34" s="48">
        <v>93</v>
      </c>
      <c r="N34" s="48">
        <v>97</v>
      </c>
      <c r="O34" s="48">
        <v>95</v>
      </c>
      <c r="P34" s="58">
        <f t="shared" si="1"/>
        <v>84.727272727272734</v>
      </c>
    </row>
    <row r="35" spans="1:16" s="5" customFormat="1" ht="13.5" customHeight="1" x14ac:dyDescent="0.3">
      <c r="A35" s="14"/>
      <c r="B35" s="17"/>
      <c r="C35" s="2"/>
      <c r="D35" s="22"/>
      <c r="E35" s="30" t="str">
        <f t="shared" ref="E35:O35" si="16">IF(E34&gt;=90,"A",IF(E34&gt;=80,"B",IF(E34&gt;=70,"C",IF(E34&gt;=60,"D","F"))))</f>
        <v>C</v>
      </c>
      <c r="F35" s="30" t="str">
        <f t="shared" si="16"/>
        <v>A</v>
      </c>
      <c r="G35" s="30" t="str">
        <f t="shared" si="16"/>
        <v>B</v>
      </c>
      <c r="H35" s="30" t="str">
        <f t="shared" si="16"/>
        <v>B</v>
      </c>
      <c r="I35" s="30" t="str">
        <f t="shared" si="16"/>
        <v>D</v>
      </c>
      <c r="J35" s="30" t="str">
        <f t="shared" si="16"/>
        <v>B</v>
      </c>
      <c r="K35" s="30" t="str">
        <f t="shared" si="16"/>
        <v>C</v>
      </c>
      <c r="L35" s="30" t="str">
        <f t="shared" si="16"/>
        <v>A</v>
      </c>
      <c r="M35" s="30" t="str">
        <f t="shared" si="16"/>
        <v>A</v>
      </c>
      <c r="N35" s="30" t="str">
        <f t="shared" si="16"/>
        <v>A</v>
      </c>
      <c r="O35" s="30" t="str">
        <f t="shared" si="16"/>
        <v>A</v>
      </c>
      <c r="P35" s="58"/>
    </row>
    <row r="36" spans="1:16" x14ac:dyDescent="0.25">
      <c r="A36" s="14">
        <v>17</v>
      </c>
      <c r="B36" s="17" t="s">
        <v>294</v>
      </c>
      <c r="C36" s="2" t="s">
        <v>709</v>
      </c>
      <c r="D36" s="22" t="s">
        <v>376</v>
      </c>
      <c r="E36" s="29">
        <v>96</v>
      </c>
      <c r="F36" s="29">
        <v>95</v>
      </c>
      <c r="G36" s="29">
        <v>96</v>
      </c>
      <c r="H36" s="29">
        <v>87</v>
      </c>
      <c r="I36" s="29">
        <v>91</v>
      </c>
      <c r="J36" s="48">
        <v>98</v>
      </c>
      <c r="K36" s="48">
        <v>91</v>
      </c>
      <c r="L36" s="48">
        <v>95</v>
      </c>
      <c r="M36" s="48">
        <v>95</v>
      </c>
      <c r="N36" s="48">
        <v>98</v>
      </c>
      <c r="O36" s="48">
        <v>98</v>
      </c>
      <c r="P36" s="58">
        <f t="shared" si="1"/>
        <v>94.545454545454547</v>
      </c>
    </row>
    <row r="37" spans="1:16" ht="15.75" x14ac:dyDescent="0.3">
      <c r="A37" s="14"/>
      <c r="B37" s="17"/>
      <c r="C37" s="2"/>
      <c r="D37" s="22"/>
      <c r="E37" s="30" t="str">
        <f t="shared" ref="E37:O37" si="17">IF(E36&gt;=90,"A",IF(E36&gt;=80,"B",IF(E36&gt;=70,"C",IF(E36&gt;=60,"D","F"))))</f>
        <v>A</v>
      </c>
      <c r="F37" s="30" t="str">
        <f t="shared" si="17"/>
        <v>A</v>
      </c>
      <c r="G37" s="30" t="str">
        <f t="shared" si="17"/>
        <v>A</v>
      </c>
      <c r="H37" s="30" t="str">
        <f t="shared" si="17"/>
        <v>B</v>
      </c>
      <c r="I37" s="30" t="str">
        <f t="shared" si="17"/>
        <v>A</v>
      </c>
      <c r="J37" s="30" t="str">
        <f t="shared" si="17"/>
        <v>A</v>
      </c>
      <c r="K37" s="30" t="str">
        <f t="shared" si="17"/>
        <v>A</v>
      </c>
      <c r="L37" s="30" t="str">
        <f t="shared" si="17"/>
        <v>A</v>
      </c>
      <c r="M37" s="30" t="str">
        <f t="shared" si="17"/>
        <v>A</v>
      </c>
      <c r="N37" s="30" t="str">
        <f t="shared" si="17"/>
        <v>A</v>
      </c>
      <c r="O37" s="30" t="str">
        <f t="shared" si="17"/>
        <v>A</v>
      </c>
      <c r="P37" s="58"/>
    </row>
    <row r="38" spans="1:16" x14ac:dyDescent="0.25">
      <c r="A38" s="14">
        <v>18</v>
      </c>
      <c r="B38" s="17" t="s">
        <v>35</v>
      </c>
      <c r="C38" s="2" t="s">
        <v>710</v>
      </c>
      <c r="D38" s="22" t="s">
        <v>375</v>
      </c>
      <c r="E38" s="29">
        <v>74</v>
      </c>
      <c r="F38" s="29">
        <v>79</v>
      </c>
      <c r="G38" s="29">
        <v>73</v>
      </c>
      <c r="H38" s="29">
        <v>87</v>
      </c>
      <c r="I38" s="29">
        <v>64</v>
      </c>
      <c r="J38" s="29">
        <v>91</v>
      </c>
      <c r="K38" s="48">
        <v>78</v>
      </c>
      <c r="L38" s="48">
        <v>84</v>
      </c>
      <c r="M38" s="48">
        <v>80</v>
      </c>
      <c r="N38" s="48">
        <v>98</v>
      </c>
      <c r="O38" s="48">
        <v>100</v>
      </c>
      <c r="P38" s="58">
        <f>AVERAGE(E38:O38)</f>
        <v>82.545454545454547</v>
      </c>
    </row>
    <row r="39" spans="1:16" ht="15.75" x14ac:dyDescent="0.3">
      <c r="A39" s="14"/>
      <c r="B39" s="17"/>
      <c r="C39" s="2"/>
      <c r="D39" s="22"/>
      <c r="E39" s="30" t="str">
        <f t="shared" ref="E39:O39" si="18">IF(E38&gt;=90,"A",IF(E38&gt;=80,"B",IF(E38&gt;=70,"C",IF(E38&gt;=60,"D","F"))))</f>
        <v>C</v>
      </c>
      <c r="F39" s="30" t="str">
        <f t="shared" si="18"/>
        <v>C</v>
      </c>
      <c r="G39" s="30" t="str">
        <f t="shared" si="18"/>
        <v>C</v>
      </c>
      <c r="H39" s="30" t="str">
        <f t="shared" si="18"/>
        <v>B</v>
      </c>
      <c r="I39" s="30" t="str">
        <f t="shared" si="18"/>
        <v>D</v>
      </c>
      <c r="J39" s="30" t="str">
        <f t="shared" si="18"/>
        <v>A</v>
      </c>
      <c r="K39" s="30" t="str">
        <f t="shared" si="18"/>
        <v>C</v>
      </c>
      <c r="L39" s="30" t="str">
        <f t="shared" si="18"/>
        <v>B</v>
      </c>
      <c r="M39" s="30" t="str">
        <f t="shared" si="18"/>
        <v>B</v>
      </c>
      <c r="N39" s="30" t="str">
        <f t="shared" si="18"/>
        <v>A</v>
      </c>
      <c r="O39" s="30" t="str">
        <f t="shared" si="18"/>
        <v>A</v>
      </c>
      <c r="P39" s="58"/>
    </row>
    <row r="40" spans="1:16" x14ac:dyDescent="0.25">
      <c r="A40" s="14">
        <v>19</v>
      </c>
      <c r="B40" s="17" t="s">
        <v>295</v>
      </c>
      <c r="C40" s="2" t="s">
        <v>711</v>
      </c>
      <c r="D40" s="22" t="s">
        <v>375</v>
      </c>
      <c r="E40" s="29">
        <v>72</v>
      </c>
      <c r="F40" s="29">
        <v>69</v>
      </c>
      <c r="G40" s="29">
        <v>76</v>
      </c>
      <c r="H40" s="29">
        <v>86</v>
      </c>
      <c r="I40" s="29">
        <v>82</v>
      </c>
      <c r="J40" s="29">
        <v>94</v>
      </c>
      <c r="K40" s="48">
        <v>74</v>
      </c>
      <c r="L40" s="48">
        <v>81</v>
      </c>
      <c r="M40" s="48">
        <v>88</v>
      </c>
      <c r="N40" s="48">
        <v>99</v>
      </c>
      <c r="O40" s="48">
        <v>100</v>
      </c>
      <c r="P40" s="58">
        <f t="shared" si="1"/>
        <v>83.727272727272734</v>
      </c>
    </row>
    <row r="41" spans="1:16" ht="15.75" x14ac:dyDescent="0.3">
      <c r="A41" s="25"/>
      <c r="B41" s="20"/>
      <c r="C41" s="20"/>
      <c r="D41" s="6"/>
      <c r="E41" s="30" t="str">
        <f t="shared" ref="E41:O41" si="19">IF(E40&gt;=90,"A",IF(E40&gt;=80,"B",IF(E40&gt;=70,"C",IF(E40&gt;=60,"D","F"))))</f>
        <v>C</v>
      </c>
      <c r="F41" s="30" t="str">
        <f t="shared" si="19"/>
        <v>D</v>
      </c>
      <c r="G41" s="30" t="str">
        <f t="shared" si="19"/>
        <v>C</v>
      </c>
      <c r="H41" s="30" t="str">
        <f t="shared" si="19"/>
        <v>B</v>
      </c>
      <c r="I41" s="30" t="str">
        <f t="shared" si="19"/>
        <v>B</v>
      </c>
      <c r="J41" s="30" t="str">
        <f t="shared" si="19"/>
        <v>A</v>
      </c>
      <c r="K41" s="30" t="str">
        <f t="shared" si="19"/>
        <v>C</v>
      </c>
      <c r="L41" s="30" t="str">
        <f t="shared" si="19"/>
        <v>B</v>
      </c>
      <c r="M41" s="30" t="str">
        <f t="shared" si="19"/>
        <v>B</v>
      </c>
      <c r="N41" s="30" t="str">
        <f t="shared" si="19"/>
        <v>A</v>
      </c>
      <c r="O41" s="30" t="str">
        <f t="shared" si="19"/>
        <v>A</v>
      </c>
      <c r="P41" s="3"/>
    </row>
  </sheetData>
  <sheetProtection formatCells="0" formatColumns="0" formatRows="0" insertColumns="0" insertRows="0" insertHyperlinks="0" deleteColumns="0" deleteRows="0" sort="0" autoFilter="0" pivotTables="0"/>
  <autoFilter ref="A1:D34" xr:uid="{00000000-0009-0000-0000-000018000000}">
    <filterColumn colId="0" showButton="0"/>
  </autoFilter>
  <mergeCells count="1">
    <mergeCell ref="A1:B2"/>
  </mergeCells>
  <pageMargins left="0.23" right="0.17" top="0.25" bottom="0" header="0.17" footer="0.18"/>
  <pageSetup paperSize="9" orientation="landscape" r:id="rId1"/>
  <headerFooter>
    <oddFooter xml:space="preserve">&amp;C
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35"/>
  <sheetViews>
    <sheetView zoomScaleNormal="100" workbookViewId="0">
      <selection activeCell="K27" sqref="K27"/>
    </sheetView>
  </sheetViews>
  <sheetFormatPr defaultRowHeight="15" x14ac:dyDescent="0.25"/>
  <cols>
    <col min="1" max="1" width="6" style="13" customWidth="1"/>
    <col min="2" max="2" width="20.42578125" style="28" customWidth="1"/>
    <col min="3" max="3" width="11.140625" style="28" bestFit="1" customWidth="1"/>
    <col min="4" max="4" width="6" style="7" customWidth="1"/>
    <col min="5" max="5" width="8.140625" style="46" customWidth="1"/>
    <col min="6" max="6" width="8.5703125" style="46" customWidth="1"/>
    <col min="7" max="7" width="12.42578125" style="46" bestFit="1" customWidth="1"/>
    <col min="8" max="8" width="9.85546875" style="46" customWidth="1"/>
    <col min="9" max="9" width="9.140625" style="46" customWidth="1"/>
    <col min="10" max="10" width="10" style="46" customWidth="1"/>
    <col min="11" max="11" width="14" style="46" customWidth="1"/>
    <col min="12" max="12" width="8.85546875" style="46" customWidth="1"/>
    <col min="13" max="13" width="15.28515625" style="46" customWidth="1"/>
    <col min="14" max="14" width="8.42578125" style="46" customWidth="1"/>
    <col min="15" max="15" width="8.5703125" style="46" customWidth="1"/>
    <col min="16" max="16384" width="9.140625" style="2"/>
  </cols>
  <sheetData>
    <row r="1" spans="1:16" ht="6" customHeight="1" x14ac:dyDescent="0.25">
      <c r="A1" s="85" t="s">
        <v>729</v>
      </c>
      <c r="B1" s="86"/>
      <c r="C1" s="80"/>
    </row>
    <row r="2" spans="1:16" ht="10.5" customHeight="1" x14ac:dyDescent="0.25">
      <c r="A2" s="87"/>
      <c r="B2" s="88"/>
      <c r="C2" s="80"/>
    </row>
    <row r="3" spans="1:16" s="74" customFormat="1" ht="25.5" customHeight="1" x14ac:dyDescent="0.25">
      <c r="A3" s="40" t="s">
        <v>0</v>
      </c>
      <c r="B3" s="41" t="s">
        <v>1</v>
      </c>
      <c r="C3" s="41"/>
      <c r="D3" s="63" t="s">
        <v>2</v>
      </c>
      <c r="E3" s="43" t="s">
        <v>426</v>
      </c>
      <c r="F3" s="43" t="s">
        <v>427</v>
      </c>
      <c r="G3" s="43" t="s">
        <v>456</v>
      </c>
      <c r="H3" s="43" t="s">
        <v>439</v>
      </c>
      <c r="I3" s="43" t="s">
        <v>440</v>
      </c>
      <c r="J3" s="43" t="s">
        <v>441</v>
      </c>
      <c r="K3" s="43" t="s">
        <v>827</v>
      </c>
      <c r="L3" s="43" t="s">
        <v>437</v>
      </c>
      <c r="M3" s="43" t="s">
        <v>442</v>
      </c>
      <c r="N3" s="43" t="s">
        <v>445</v>
      </c>
      <c r="O3" s="64" t="s">
        <v>438</v>
      </c>
      <c r="P3" s="64" t="s">
        <v>428</v>
      </c>
    </row>
    <row r="4" spans="1:16" s="5" customFormat="1" ht="13.5" customHeight="1" x14ac:dyDescent="0.25">
      <c r="A4" s="14">
        <v>1</v>
      </c>
      <c r="B4" s="17" t="s">
        <v>357</v>
      </c>
      <c r="C4" s="2" t="s">
        <v>713</v>
      </c>
      <c r="D4" s="4" t="s">
        <v>375</v>
      </c>
      <c r="E4" s="48">
        <v>76</v>
      </c>
      <c r="F4" s="48">
        <v>72</v>
      </c>
      <c r="G4" s="48">
        <v>60</v>
      </c>
      <c r="H4" s="48">
        <v>66</v>
      </c>
      <c r="I4" s="48">
        <v>67.5</v>
      </c>
      <c r="J4" s="48">
        <v>70</v>
      </c>
      <c r="K4" s="48">
        <v>56</v>
      </c>
      <c r="L4" s="48">
        <v>63.5</v>
      </c>
      <c r="M4" s="48">
        <v>95</v>
      </c>
      <c r="N4" s="48">
        <v>96</v>
      </c>
      <c r="O4" s="48">
        <v>100</v>
      </c>
      <c r="P4" s="58">
        <f>AVERAGE(E4:O4)</f>
        <v>74.727272727272734</v>
      </c>
    </row>
    <row r="5" spans="1:16" s="5" customFormat="1" ht="13.5" customHeight="1" x14ac:dyDescent="0.3">
      <c r="A5" s="14"/>
      <c r="B5" s="17"/>
      <c r="C5" s="2"/>
      <c r="D5" s="30"/>
      <c r="E5" s="30" t="str">
        <f t="shared" ref="E5:O5" si="0">IF(E4&gt;=90,"A",IF(E4&gt;=80,"B",IF(E4&gt;=70,"C",IF(E4&gt;=60,"D","F"))))</f>
        <v>C</v>
      </c>
      <c r="F5" s="30" t="str">
        <f t="shared" si="0"/>
        <v>C</v>
      </c>
      <c r="G5" s="30" t="str">
        <f t="shared" si="0"/>
        <v>D</v>
      </c>
      <c r="H5" s="30" t="str">
        <f t="shared" si="0"/>
        <v>D</v>
      </c>
      <c r="I5" s="30" t="str">
        <f t="shared" si="0"/>
        <v>D</v>
      </c>
      <c r="J5" s="30" t="str">
        <f t="shared" si="0"/>
        <v>C</v>
      </c>
      <c r="K5" s="30" t="str">
        <f t="shared" si="0"/>
        <v>F</v>
      </c>
      <c r="L5" s="30" t="str">
        <f t="shared" si="0"/>
        <v>D</v>
      </c>
      <c r="M5" s="30" t="str">
        <f t="shared" si="0"/>
        <v>A</v>
      </c>
      <c r="N5" s="30" t="str">
        <f t="shared" si="0"/>
        <v>A</v>
      </c>
      <c r="O5" s="30" t="str">
        <f t="shared" si="0"/>
        <v>A</v>
      </c>
      <c r="P5" s="58"/>
    </row>
    <row r="6" spans="1:16" s="5" customFormat="1" ht="13.5" customHeight="1" x14ac:dyDescent="0.25">
      <c r="A6" s="14">
        <v>2</v>
      </c>
      <c r="B6" s="17" t="s">
        <v>359</v>
      </c>
      <c r="C6" s="2" t="s">
        <v>714</v>
      </c>
      <c r="D6" s="4" t="s">
        <v>376</v>
      </c>
      <c r="E6" s="48">
        <v>94</v>
      </c>
      <c r="F6" s="48">
        <v>90</v>
      </c>
      <c r="G6" s="48">
        <v>92</v>
      </c>
      <c r="H6" s="48">
        <v>83</v>
      </c>
      <c r="I6" s="48">
        <v>75</v>
      </c>
      <c r="J6" s="48">
        <v>84</v>
      </c>
      <c r="K6" s="48">
        <v>79</v>
      </c>
      <c r="L6" s="48">
        <v>93</v>
      </c>
      <c r="M6" s="48">
        <v>97</v>
      </c>
      <c r="N6" s="48">
        <v>100</v>
      </c>
      <c r="O6" s="48">
        <v>100</v>
      </c>
      <c r="P6" s="58">
        <f t="shared" ref="P6:P34" si="1">AVERAGE(E6:O6)</f>
        <v>89.727272727272734</v>
      </c>
    </row>
    <row r="7" spans="1:16" s="5" customFormat="1" ht="13.5" customHeight="1" x14ac:dyDescent="0.3">
      <c r="A7" s="14"/>
      <c r="B7" s="17"/>
      <c r="C7" s="2"/>
      <c r="D7" s="4"/>
      <c r="E7" s="30" t="str">
        <f t="shared" ref="E7:O7" si="2">IF(E6&gt;=90,"A",IF(E6&gt;=80,"B",IF(E6&gt;=70,"C",IF(E6&gt;=60,"D","F"))))</f>
        <v>A</v>
      </c>
      <c r="F7" s="30" t="str">
        <f t="shared" si="2"/>
        <v>A</v>
      </c>
      <c r="G7" s="30" t="str">
        <f t="shared" si="2"/>
        <v>A</v>
      </c>
      <c r="H7" s="30" t="str">
        <f t="shared" si="2"/>
        <v>B</v>
      </c>
      <c r="I7" s="30" t="str">
        <f t="shared" si="2"/>
        <v>C</v>
      </c>
      <c r="J7" s="30" t="str">
        <f t="shared" si="2"/>
        <v>B</v>
      </c>
      <c r="K7" s="30" t="str">
        <f t="shared" si="2"/>
        <v>C</v>
      </c>
      <c r="L7" s="30" t="str">
        <f t="shared" si="2"/>
        <v>A</v>
      </c>
      <c r="M7" s="30" t="str">
        <f t="shared" si="2"/>
        <v>A</v>
      </c>
      <c r="N7" s="30" t="str">
        <f t="shared" si="2"/>
        <v>A</v>
      </c>
      <c r="O7" s="30" t="str">
        <f t="shared" si="2"/>
        <v>A</v>
      </c>
      <c r="P7" s="30"/>
    </row>
    <row r="8" spans="1:16" s="5" customFormat="1" ht="13.5" customHeight="1" x14ac:dyDescent="0.25">
      <c r="A8" s="14">
        <v>3</v>
      </c>
      <c r="B8" s="17" t="s">
        <v>360</v>
      </c>
      <c r="C8" s="2" t="s">
        <v>715</v>
      </c>
      <c r="D8" s="4" t="s">
        <v>375</v>
      </c>
      <c r="E8" s="48">
        <v>90</v>
      </c>
      <c r="F8" s="48">
        <v>69</v>
      </c>
      <c r="G8" s="48">
        <v>90</v>
      </c>
      <c r="H8" s="48">
        <v>77</v>
      </c>
      <c r="I8" s="48">
        <v>86.5</v>
      </c>
      <c r="J8" s="48">
        <v>81</v>
      </c>
      <c r="K8" s="48">
        <v>84</v>
      </c>
      <c r="L8" s="48">
        <v>92</v>
      </c>
      <c r="M8" s="48">
        <v>90.5</v>
      </c>
      <c r="N8" s="48">
        <v>93</v>
      </c>
      <c r="O8" s="48">
        <v>98</v>
      </c>
      <c r="P8" s="58">
        <f t="shared" si="1"/>
        <v>86.454545454545453</v>
      </c>
    </row>
    <row r="9" spans="1:16" s="5" customFormat="1" ht="13.5" customHeight="1" x14ac:dyDescent="0.3">
      <c r="A9" s="14"/>
      <c r="B9" s="17"/>
      <c r="C9" s="2"/>
      <c r="D9" s="4"/>
      <c r="E9" s="30" t="str">
        <f t="shared" ref="E9:O9" si="3">IF(E8&gt;=90,"A",IF(E8&gt;=80,"B",IF(E8&gt;=70,"C",IF(E8&gt;=60,"D","F"))))</f>
        <v>A</v>
      </c>
      <c r="F9" s="30" t="str">
        <f t="shared" si="3"/>
        <v>D</v>
      </c>
      <c r="G9" s="30" t="str">
        <f t="shared" si="3"/>
        <v>A</v>
      </c>
      <c r="H9" s="30" t="str">
        <f t="shared" si="3"/>
        <v>C</v>
      </c>
      <c r="I9" s="30" t="str">
        <f t="shared" si="3"/>
        <v>B</v>
      </c>
      <c r="J9" s="30" t="str">
        <f t="shared" si="3"/>
        <v>B</v>
      </c>
      <c r="K9" s="30" t="str">
        <f t="shared" si="3"/>
        <v>B</v>
      </c>
      <c r="L9" s="30" t="str">
        <f t="shared" si="3"/>
        <v>A</v>
      </c>
      <c r="M9" s="30" t="str">
        <f t="shared" si="3"/>
        <v>A</v>
      </c>
      <c r="N9" s="30" t="str">
        <f t="shared" si="3"/>
        <v>A</v>
      </c>
      <c r="O9" s="30" t="str">
        <f t="shared" si="3"/>
        <v>A</v>
      </c>
      <c r="P9" s="30"/>
    </row>
    <row r="10" spans="1:16" s="5" customFormat="1" ht="13.5" customHeight="1" x14ac:dyDescent="0.25">
      <c r="A10" s="14">
        <v>4</v>
      </c>
      <c r="B10" s="17" t="s">
        <v>361</v>
      </c>
      <c r="C10" s="2" t="s">
        <v>716</v>
      </c>
      <c r="D10" s="4" t="s">
        <v>375</v>
      </c>
      <c r="E10" s="48">
        <v>74</v>
      </c>
      <c r="F10" s="48">
        <v>81</v>
      </c>
      <c r="G10" s="48">
        <v>75</v>
      </c>
      <c r="H10" s="48">
        <v>91</v>
      </c>
      <c r="I10" s="48">
        <v>83</v>
      </c>
      <c r="J10" s="48">
        <v>87</v>
      </c>
      <c r="K10" s="48">
        <v>72</v>
      </c>
      <c r="L10" s="48">
        <v>86</v>
      </c>
      <c r="M10" s="48">
        <v>97</v>
      </c>
      <c r="N10" s="48">
        <v>99</v>
      </c>
      <c r="O10" s="48">
        <v>100</v>
      </c>
      <c r="P10" s="58">
        <f t="shared" si="1"/>
        <v>85.909090909090907</v>
      </c>
    </row>
    <row r="11" spans="1:16" s="5" customFormat="1" ht="13.5" customHeight="1" x14ac:dyDescent="0.3">
      <c r="A11" s="14"/>
      <c r="B11" s="17"/>
      <c r="C11" s="2"/>
      <c r="D11" s="4"/>
      <c r="E11" s="30" t="str">
        <f t="shared" ref="E11:O11" si="4">IF(E10&gt;=90,"A",IF(E10&gt;=80,"B",IF(E10&gt;=70,"C",IF(E10&gt;=60,"D","F"))))</f>
        <v>C</v>
      </c>
      <c r="F11" s="30" t="str">
        <f t="shared" si="4"/>
        <v>B</v>
      </c>
      <c r="G11" s="30" t="str">
        <f t="shared" si="4"/>
        <v>C</v>
      </c>
      <c r="H11" s="30" t="str">
        <f t="shared" si="4"/>
        <v>A</v>
      </c>
      <c r="I11" s="30" t="str">
        <f t="shared" si="4"/>
        <v>B</v>
      </c>
      <c r="J11" s="30" t="str">
        <f t="shared" si="4"/>
        <v>B</v>
      </c>
      <c r="K11" s="30" t="str">
        <f t="shared" si="4"/>
        <v>C</v>
      </c>
      <c r="L11" s="30" t="str">
        <f t="shared" si="4"/>
        <v>B</v>
      </c>
      <c r="M11" s="30" t="str">
        <f t="shared" si="4"/>
        <v>A</v>
      </c>
      <c r="N11" s="30" t="str">
        <f t="shared" si="4"/>
        <v>A</v>
      </c>
      <c r="O11" s="30" t="str">
        <f t="shared" si="4"/>
        <v>A</v>
      </c>
      <c r="P11" s="30"/>
    </row>
    <row r="12" spans="1:16" s="5" customFormat="1" ht="13.5" customHeight="1" x14ac:dyDescent="0.25">
      <c r="A12" s="14">
        <v>5</v>
      </c>
      <c r="B12" s="17" t="s">
        <v>362</v>
      </c>
      <c r="C12" s="2" t="s">
        <v>717</v>
      </c>
      <c r="D12" s="4" t="s">
        <v>376</v>
      </c>
      <c r="E12" s="48">
        <v>91</v>
      </c>
      <c r="F12" s="48">
        <v>77</v>
      </c>
      <c r="G12" s="48">
        <v>99</v>
      </c>
      <c r="H12" s="48">
        <v>91</v>
      </c>
      <c r="I12" s="48">
        <v>87</v>
      </c>
      <c r="J12" s="48">
        <v>93</v>
      </c>
      <c r="K12" s="48">
        <v>80</v>
      </c>
      <c r="L12" s="48">
        <v>81</v>
      </c>
      <c r="M12" s="48">
        <v>98</v>
      </c>
      <c r="N12" s="48">
        <v>100</v>
      </c>
      <c r="O12" s="48">
        <v>97</v>
      </c>
      <c r="P12" s="58">
        <f t="shared" si="1"/>
        <v>90.36363636363636</v>
      </c>
    </row>
    <row r="13" spans="1:16" s="5" customFormat="1" ht="13.5" customHeight="1" x14ac:dyDescent="0.3">
      <c r="A13" s="14"/>
      <c r="B13" s="17"/>
      <c r="C13" s="2"/>
      <c r="D13" s="4"/>
      <c r="E13" s="30" t="str">
        <f t="shared" ref="E13:O13" si="5">IF(E12&gt;=90,"A",IF(E12&gt;=80,"B",IF(E12&gt;=70,"C",IF(E12&gt;=60,"D","F"))))</f>
        <v>A</v>
      </c>
      <c r="F13" s="30" t="str">
        <f t="shared" si="5"/>
        <v>C</v>
      </c>
      <c r="G13" s="30" t="str">
        <f t="shared" si="5"/>
        <v>A</v>
      </c>
      <c r="H13" s="30" t="str">
        <f t="shared" si="5"/>
        <v>A</v>
      </c>
      <c r="I13" s="30" t="str">
        <f t="shared" si="5"/>
        <v>B</v>
      </c>
      <c r="J13" s="30" t="str">
        <f t="shared" si="5"/>
        <v>A</v>
      </c>
      <c r="K13" s="30" t="str">
        <f t="shared" si="5"/>
        <v>B</v>
      </c>
      <c r="L13" s="30" t="str">
        <f t="shared" si="5"/>
        <v>B</v>
      </c>
      <c r="M13" s="30" t="str">
        <f t="shared" si="5"/>
        <v>A</v>
      </c>
      <c r="N13" s="30" t="str">
        <f t="shared" si="5"/>
        <v>A</v>
      </c>
      <c r="O13" s="30" t="str">
        <f t="shared" si="5"/>
        <v>A</v>
      </c>
      <c r="P13" s="30"/>
    </row>
    <row r="14" spans="1:16" s="5" customFormat="1" ht="13.5" customHeight="1" x14ac:dyDescent="0.25">
      <c r="A14" s="14">
        <v>6</v>
      </c>
      <c r="B14" s="17" t="s">
        <v>363</v>
      </c>
      <c r="C14" s="2" t="s">
        <v>718</v>
      </c>
      <c r="D14" s="4" t="s">
        <v>375</v>
      </c>
      <c r="E14" s="48">
        <v>83</v>
      </c>
      <c r="F14" s="48">
        <v>80</v>
      </c>
      <c r="G14" s="48">
        <v>92</v>
      </c>
      <c r="H14" s="48">
        <v>70</v>
      </c>
      <c r="I14" s="48">
        <v>91.5</v>
      </c>
      <c r="J14" s="48">
        <v>83</v>
      </c>
      <c r="K14" s="48">
        <v>84</v>
      </c>
      <c r="L14" s="48">
        <v>91</v>
      </c>
      <c r="M14" s="48">
        <v>97</v>
      </c>
      <c r="N14" s="48">
        <v>96</v>
      </c>
      <c r="O14" s="48">
        <v>100</v>
      </c>
      <c r="P14" s="58">
        <f t="shared" si="1"/>
        <v>87.954545454545453</v>
      </c>
    </row>
    <row r="15" spans="1:16" s="5" customFormat="1" ht="13.5" customHeight="1" x14ac:dyDescent="0.3">
      <c r="A15" s="14"/>
      <c r="B15" s="17"/>
      <c r="C15" s="2"/>
      <c r="D15" s="4"/>
      <c r="E15" s="30" t="str">
        <f t="shared" ref="E15:O15" si="6">IF(E14&gt;=90,"A",IF(E14&gt;=80,"B",IF(E14&gt;=70,"C",IF(E14&gt;=60,"D","F"))))</f>
        <v>B</v>
      </c>
      <c r="F15" s="30" t="str">
        <f t="shared" si="6"/>
        <v>B</v>
      </c>
      <c r="G15" s="30" t="str">
        <f t="shared" si="6"/>
        <v>A</v>
      </c>
      <c r="H15" s="30" t="str">
        <f t="shared" si="6"/>
        <v>C</v>
      </c>
      <c r="I15" s="30" t="str">
        <f t="shared" si="6"/>
        <v>A</v>
      </c>
      <c r="J15" s="30" t="str">
        <f t="shared" si="6"/>
        <v>B</v>
      </c>
      <c r="K15" s="30" t="str">
        <f t="shared" si="6"/>
        <v>B</v>
      </c>
      <c r="L15" s="30" t="str">
        <f t="shared" si="6"/>
        <v>A</v>
      </c>
      <c r="M15" s="30" t="str">
        <f t="shared" si="6"/>
        <v>A</v>
      </c>
      <c r="N15" s="30" t="str">
        <f t="shared" si="6"/>
        <v>A</v>
      </c>
      <c r="O15" s="30" t="str">
        <f t="shared" si="6"/>
        <v>A</v>
      </c>
      <c r="P15" s="30"/>
    </row>
    <row r="16" spans="1:16" s="5" customFormat="1" ht="13.5" customHeight="1" x14ac:dyDescent="0.25">
      <c r="A16" s="14">
        <v>7</v>
      </c>
      <c r="B16" s="17" t="s">
        <v>358</v>
      </c>
      <c r="C16" s="2" t="s">
        <v>719</v>
      </c>
      <c r="D16" s="4" t="s">
        <v>376</v>
      </c>
      <c r="E16" s="48">
        <v>93</v>
      </c>
      <c r="F16" s="48">
        <v>93</v>
      </c>
      <c r="G16" s="48">
        <v>99</v>
      </c>
      <c r="H16" s="48">
        <v>82</v>
      </c>
      <c r="I16" s="48">
        <v>95.5</v>
      </c>
      <c r="J16" s="48">
        <v>98</v>
      </c>
      <c r="K16" s="48">
        <v>90</v>
      </c>
      <c r="L16" s="48">
        <v>95</v>
      </c>
      <c r="M16" s="48">
        <v>98</v>
      </c>
      <c r="N16" s="48">
        <v>98</v>
      </c>
      <c r="O16" s="48">
        <v>97</v>
      </c>
      <c r="P16" s="58">
        <f t="shared" si="1"/>
        <v>94.409090909090907</v>
      </c>
    </row>
    <row r="17" spans="1:16" s="5" customFormat="1" ht="13.5" customHeight="1" x14ac:dyDescent="0.3">
      <c r="A17" s="14"/>
      <c r="B17" s="17"/>
      <c r="C17" s="2"/>
      <c r="D17" s="4"/>
      <c r="E17" s="30" t="str">
        <f t="shared" ref="E17:O17" si="7">IF(E16&gt;=90,"A",IF(E16&gt;=80,"B",IF(E16&gt;=70,"C",IF(E16&gt;=60,"D","F"))))</f>
        <v>A</v>
      </c>
      <c r="F17" s="30" t="str">
        <f t="shared" si="7"/>
        <v>A</v>
      </c>
      <c r="G17" s="30" t="str">
        <f t="shared" si="7"/>
        <v>A</v>
      </c>
      <c r="H17" s="30" t="str">
        <f t="shared" si="7"/>
        <v>B</v>
      </c>
      <c r="I17" s="30" t="str">
        <f t="shared" si="7"/>
        <v>A</v>
      </c>
      <c r="J17" s="30" t="str">
        <f t="shared" si="7"/>
        <v>A</v>
      </c>
      <c r="K17" s="30" t="str">
        <f t="shared" si="7"/>
        <v>A</v>
      </c>
      <c r="L17" s="30" t="str">
        <f t="shared" si="7"/>
        <v>A</v>
      </c>
      <c r="M17" s="30" t="str">
        <f t="shared" si="7"/>
        <v>A</v>
      </c>
      <c r="N17" s="30" t="str">
        <f t="shared" si="7"/>
        <v>A</v>
      </c>
      <c r="O17" s="30" t="str">
        <f t="shared" si="7"/>
        <v>A</v>
      </c>
      <c r="P17" s="30"/>
    </row>
    <row r="18" spans="1:16" s="5" customFormat="1" ht="13.5" customHeight="1" x14ac:dyDescent="0.25">
      <c r="A18" s="14">
        <v>8</v>
      </c>
      <c r="B18" s="17" t="s">
        <v>364</v>
      </c>
      <c r="C18" s="2" t="s">
        <v>720</v>
      </c>
      <c r="D18" s="4" t="s">
        <v>376</v>
      </c>
      <c r="E18" s="48">
        <v>70</v>
      </c>
      <c r="F18" s="48">
        <v>83</v>
      </c>
      <c r="G18" s="48">
        <v>75</v>
      </c>
      <c r="H18" s="48">
        <v>69</v>
      </c>
      <c r="I18" s="48">
        <v>74.5</v>
      </c>
      <c r="J18" s="48">
        <v>78</v>
      </c>
      <c r="K18" s="48">
        <v>68</v>
      </c>
      <c r="L18" s="48">
        <v>88</v>
      </c>
      <c r="M18" s="48">
        <v>98</v>
      </c>
      <c r="N18" s="48">
        <v>97</v>
      </c>
      <c r="O18" s="48">
        <v>100</v>
      </c>
      <c r="P18" s="58">
        <f t="shared" si="1"/>
        <v>81.86363636363636</v>
      </c>
    </row>
    <row r="19" spans="1:16" s="5" customFormat="1" ht="13.5" customHeight="1" x14ac:dyDescent="0.3">
      <c r="A19" s="14"/>
      <c r="B19" s="17"/>
      <c r="C19" s="2"/>
      <c r="D19" s="4"/>
      <c r="E19" s="30" t="str">
        <f t="shared" ref="E19:O19" si="8">IF(E18&gt;=90,"A",IF(E18&gt;=80,"B",IF(E18&gt;=70,"C",IF(E18&gt;=60,"D","F"))))</f>
        <v>C</v>
      </c>
      <c r="F19" s="30" t="str">
        <f t="shared" si="8"/>
        <v>B</v>
      </c>
      <c r="G19" s="30" t="str">
        <f t="shared" si="8"/>
        <v>C</v>
      </c>
      <c r="H19" s="30" t="str">
        <f t="shared" si="8"/>
        <v>D</v>
      </c>
      <c r="I19" s="30" t="str">
        <f t="shared" si="8"/>
        <v>C</v>
      </c>
      <c r="J19" s="30" t="str">
        <f t="shared" si="8"/>
        <v>C</v>
      </c>
      <c r="K19" s="30" t="str">
        <f t="shared" si="8"/>
        <v>D</v>
      </c>
      <c r="L19" s="30" t="str">
        <f t="shared" si="8"/>
        <v>B</v>
      </c>
      <c r="M19" s="30" t="str">
        <f t="shared" si="8"/>
        <v>A</v>
      </c>
      <c r="N19" s="30" t="str">
        <f t="shared" si="8"/>
        <v>A</v>
      </c>
      <c r="O19" s="30" t="str">
        <f t="shared" si="8"/>
        <v>A</v>
      </c>
      <c r="P19" s="30"/>
    </row>
    <row r="20" spans="1:16" s="5" customFormat="1" ht="13.5" customHeight="1" x14ac:dyDescent="0.25">
      <c r="A20" s="14">
        <v>9</v>
      </c>
      <c r="B20" s="17" t="s">
        <v>365</v>
      </c>
      <c r="C20" s="2" t="s">
        <v>721</v>
      </c>
      <c r="D20" s="4" t="s">
        <v>376</v>
      </c>
      <c r="E20" s="48">
        <v>92</v>
      </c>
      <c r="F20" s="48">
        <v>83</v>
      </c>
      <c r="G20" s="48">
        <v>93</v>
      </c>
      <c r="H20" s="48">
        <v>83</v>
      </c>
      <c r="I20" s="48">
        <v>80</v>
      </c>
      <c r="J20" s="48">
        <v>94</v>
      </c>
      <c r="K20" s="48">
        <v>81</v>
      </c>
      <c r="L20" s="48">
        <v>86</v>
      </c>
      <c r="M20" s="48">
        <v>97</v>
      </c>
      <c r="N20" s="48">
        <v>96</v>
      </c>
      <c r="O20" s="48">
        <v>99</v>
      </c>
      <c r="P20" s="58">
        <f t="shared" si="1"/>
        <v>89.454545454545453</v>
      </c>
    </row>
    <row r="21" spans="1:16" s="5" customFormat="1" ht="13.5" customHeight="1" x14ac:dyDescent="0.3">
      <c r="A21" s="14"/>
      <c r="B21" s="17"/>
      <c r="C21" s="2"/>
      <c r="D21" s="4"/>
      <c r="E21" s="30" t="str">
        <f t="shared" ref="E21:O21" si="9">IF(E20&gt;=90,"A",IF(E20&gt;=80,"B",IF(E20&gt;=70,"C",IF(E20&gt;=60,"D","F"))))</f>
        <v>A</v>
      </c>
      <c r="F21" s="30" t="str">
        <f t="shared" si="9"/>
        <v>B</v>
      </c>
      <c r="G21" s="30" t="str">
        <f t="shared" si="9"/>
        <v>A</v>
      </c>
      <c r="H21" s="30" t="str">
        <f t="shared" si="9"/>
        <v>B</v>
      </c>
      <c r="I21" s="30" t="str">
        <f t="shared" si="9"/>
        <v>B</v>
      </c>
      <c r="J21" s="30" t="str">
        <f t="shared" si="9"/>
        <v>A</v>
      </c>
      <c r="K21" s="30" t="str">
        <f t="shared" si="9"/>
        <v>B</v>
      </c>
      <c r="L21" s="30" t="str">
        <f t="shared" si="9"/>
        <v>B</v>
      </c>
      <c r="M21" s="30" t="str">
        <f t="shared" si="9"/>
        <v>A</v>
      </c>
      <c r="N21" s="30" t="str">
        <f t="shared" si="9"/>
        <v>A</v>
      </c>
      <c r="O21" s="30" t="str">
        <f t="shared" si="9"/>
        <v>A</v>
      </c>
      <c r="P21" s="30"/>
    </row>
    <row r="22" spans="1:16" s="5" customFormat="1" ht="13.5" customHeight="1" x14ac:dyDescent="0.25">
      <c r="A22" s="14">
        <v>10</v>
      </c>
      <c r="B22" s="17" t="s">
        <v>366</v>
      </c>
      <c r="C22" s="2" t="s">
        <v>722</v>
      </c>
      <c r="D22" s="4" t="s">
        <v>375</v>
      </c>
      <c r="E22" s="22">
        <v>92</v>
      </c>
      <c r="F22" s="38">
        <v>82</v>
      </c>
      <c r="G22" s="48">
        <v>85</v>
      </c>
      <c r="H22" s="48">
        <v>75</v>
      </c>
      <c r="I22" s="48">
        <v>75.5</v>
      </c>
      <c r="J22" s="48">
        <v>85</v>
      </c>
      <c r="K22" s="48">
        <v>73</v>
      </c>
      <c r="L22" s="48">
        <v>94</v>
      </c>
      <c r="M22" s="48">
        <v>100</v>
      </c>
      <c r="N22" s="48">
        <v>96</v>
      </c>
      <c r="O22" s="48">
        <v>99</v>
      </c>
      <c r="P22" s="58">
        <f t="shared" si="1"/>
        <v>86.954545454545453</v>
      </c>
    </row>
    <row r="23" spans="1:16" s="5" customFormat="1" ht="13.5" customHeight="1" x14ac:dyDescent="0.3">
      <c r="A23" s="14"/>
      <c r="B23" s="17"/>
      <c r="C23" s="2"/>
      <c r="D23" s="4"/>
      <c r="E23" s="30" t="str">
        <f t="shared" ref="E23:O23" si="10">IF(E22&gt;=90,"A",IF(E22&gt;=80,"B",IF(E22&gt;=70,"C",IF(E22&gt;=60,"D","F"))))</f>
        <v>A</v>
      </c>
      <c r="F23" s="30" t="str">
        <f t="shared" si="10"/>
        <v>B</v>
      </c>
      <c r="G23" s="30" t="str">
        <f t="shared" si="10"/>
        <v>B</v>
      </c>
      <c r="H23" s="30" t="str">
        <f t="shared" si="10"/>
        <v>C</v>
      </c>
      <c r="I23" s="30" t="str">
        <f t="shared" si="10"/>
        <v>C</v>
      </c>
      <c r="J23" s="30" t="str">
        <f t="shared" si="10"/>
        <v>B</v>
      </c>
      <c r="K23" s="30" t="str">
        <f t="shared" si="10"/>
        <v>C</v>
      </c>
      <c r="L23" s="30" t="str">
        <f t="shared" si="10"/>
        <v>A</v>
      </c>
      <c r="M23" s="30" t="str">
        <f t="shared" si="10"/>
        <v>A</v>
      </c>
      <c r="N23" s="30" t="str">
        <f t="shared" si="10"/>
        <v>A</v>
      </c>
      <c r="O23" s="30" t="str">
        <f t="shared" si="10"/>
        <v>A</v>
      </c>
      <c r="P23" s="30"/>
    </row>
    <row r="24" spans="1:16" s="5" customFormat="1" ht="13.5" customHeight="1" x14ac:dyDescent="0.25">
      <c r="A24" s="14">
        <v>11</v>
      </c>
      <c r="B24" s="17" t="s">
        <v>367</v>
      </c>
      <c r="C24" s="2" t="s">
        <v>723</v>
      </c>
      <c r="D24" s="4" t="s">
        <v>375</v>
      </c>
      <c r="E24" s="48">
        <v>96</v>
      </c>
      <c r="F24" s="62">
        <v>0</v>
      </c>
      <c r="G24" s="48">
        <v>99</v>
      </c>
      <c r="H24" s="48">
        <v>92</v>
      </c>
      <c r="I24" s="48">
        <v>82</v>
      </c>
      <c r="J24" s="48">
        <v>92</v>
      </c>
      <c r="K24" s="48">
        <v>85</v>
      </c>
      <c r="L24" s="62">
        <v>0</v>
      </c>
      <c r="M24" s="48">
        <v>91.5</v>
      </c>
      <c r="N24" s="48">
        <v>95</v>
      </c>
      <c r="O24" s="48">
        <v>98</v>
      </c>
      <c r="P24" s="58">
        <f t="shared" si="1"/>
        <v>75.5</v>
      </c>
    </row>
    <row r="25" spans="1:16" s="5" customFormat="1" ht="13.5" customHeight="1" x14ac:dyDescent="0.3">
      <c r="A25" s="14"/>
      <c r="B25" s="17"/>
      <c r="C25" s="2"/>
      <c r="D25" s="4"/>
      <c r="E25" s="30" t="str">
        <f t="shared" ref="E25:O25" si="11">IF(E24&gt;=90,"A",IF(E24&gt;=80,"B",IF(E24&gt;=70,"C",IF(E24&gt;=60,"D","F"))))</f>
        <v>A</v>
      </c>
      <c r="F25" s="61"/>
      <c r="G25" s="30" t="str">
        <f t="shared" si="11"/>
        <v>A</v>
      </c>
      <c r="H25" s="30" t="str">
        <f t="shared" si="11"/>
        <v>A</v>
      </c>
      <c r="I25" s="30" t="str">
        <f t="shared" si="11"/>
        <v>B</v>
      </c>
      <c r="J25" s="30" t="str">
        <f t="shared" si="11"/>
        <v>A</v>
      </c>
      <c r="K25" s="30" t="str">
        <f t="shared" si="11"/>
        <v>B</v>
      </c>
      <c r="L25" s="61"/>
      <c r="M25" s="30" t="str">
        <f t="shared" si="11"/>
        <v>A</v>
      </c>
      <c r="N25" s="30" t="str">
        <f t="shared" si="11"/>
        <v>A</v>
      </c>
      <c r="O25" s="30" t="str">
        <f t="shared" si="11"/>
        <v>A</v>
      </c>
      <c r="P25" s="30"/>
    </row>
    <row r="26" spans="1:16" s="5" customFormat="1" ht="13.5" customHeight="1" x14ac:dyDescent="0.25">
      <c r="A26" s="14">
        <v>12</v>
      </c>
      <c r="B26" s="17" t="s">
        <v>289</v>
      </c>
      <c r="C26" s="2" t="s">
        <v>724</v>
      </c>
      <c r="D26" s="22" t="s">
        <v>375</v>
      </c>
      <c r="E26" s="48">
        <v>90</v>
      </c>
      <c r="F26" s="62">
        <v>0</v>
      </c>
      <c r="G26" s="48">
        <v>88</v>
      </c>
      <c r="H26" s="48">
        <v>76</v>
      </c>
      <c r="I26" s="48">
        <v>88</v>
      </c>
      <c r="J26" s="48">
        <v>88</v>
      </c>
      <c r="K26" s="48">
        <v>81</v>
      </c>
      <c r="L26" s="62">
        <v>0</v>
      </c>
      <c r="M26" s="48">
        <v>97</v>
      </c>
      <c r="N26" s="48">
        <v>98</v>
      </c>
      <c r="O26" s="48">
        <v>100</v>
      </c>
      <c r="P26" s="58">
        <f t="shared" si="1"/>
        <v>73.272727272727266</v>
      </c>
    </row>
    <row r="27" spans="1:16" s="5" customFormat="1" ht="13.5" customHeight="1" x14ac:dyDescent="0.3">
      <c r="A27" s="14"/>
      <c r="B27" s="17"/>
      <c r="C27" s="2"/>
      <c r="D27" s="22"/>
      <c r="E27" s="30" t="str">
        <f t="shared" ref="E27:O27" si="12">IF(E26&gt;=90,"A",IF(E26&gt;=80,"B",IF(E26&gt;=70,"C",IF(E26&gt;=60,"D","F"))))</f>
        <v>A</v>
      </c>
      <c r="F27" s="61"/>
      <c r="G27" s="30" t="str">
        <f t="shared" si="12"/>
        <v>B</v>
      </c>
      <c r="H27" s="30" t="str">
        <f t="shared" si="12"/>
        <v>C</v>
      </c>
      <c r="I27" s="30" t="str">
        <f t="shared" si="12"/>
        <v>B</v>
      </c>
      <c r="J27" s="30" t="str">
        <f t="shared" si="12"/>
        <v>B</v>
      </c>
      <c r="K27" s="30" t="str">
        <f t="shared" si="12"/>
        <v>B</v>
      </c>
      <c r="L27" s="61"/>
      <c r="M27" s="30" t="str">
        <f t="shared" si="12"/>
        <v>A</v>
      </c>
      <c r="N27" s="30" t="str">
        <f t="shared" si="12"/>
        <v>A</v>
      </c>
      <c r="O27" s="30" t="str">
        <f t="shared" si="12"/>
        <v>A</v>
      </c>
      <c r="P27" s="30"/>
    </row>
    <row r="28" spans="1:16" s="5" customFormat="1" ht="13.5" customHeight="1" x14ac:dyDescent="0.25">
      <c r="A28" s="14">
        <v>13</v>
      </c>
      <c r="B28" s="17" t="s">
        <v>368</v>
      </c>
      <c r="C28" s="2" t="s">
        <v>725</v>
      </c>
      <c r="D28" s="4" t="s">
        <v>376</v>
      </c>
      <c r="E28" s="48">
        <v>93</v>
      </c>
      <c r="F28" s="48">
        <v>84</v>
      </c>
      <c r="G28" s="48">
        <v>96</v>
      </c>
      <c r="H28" s="48">
        <v>77</v>
      </c>
      <c r="I28" s="48">
        <v>94</v>
      </c>
      <c r="J28" s="48">
        <v>96</v>
      </c>
      <c r="K28" s="48">
        <v>81</v>
      </c>
      <c r="L28" s="48">
        <v>90</v>
      </c>
      <c r="M28" s="48">
        <v>90.5</v>
      </c>
      <c r="N28" s="48">
        <v>89</v>
      </c>
      <c r="O28" s="48">
        <v>99</v>
      </c>
      <c r="P28" s="58">
        <f t="shared" si="1"/>
        <v>89.954545454545453</v>
      </c>
    </row>
    <row r="29" spans="1:16" s="5" customFormat="1" ht="13.5" customHeight="1" x14ac:dyDescent="0.3">
      <c r="A29" s="14"/>
      <c r="B29" s="17"/>
      <c r="C29" s="2"/>
      <c r="D29" s="4"/>
      <c r="E29" s="30" t="str">
        <f t="shared" ref="E29:O29" si="13">IF(E28&gt;=90,"A",IF(E28&gt;=80,"B",IF(E28&gt;=70,"C",IF(E28&gt;=60,"D","F"))))</f>
        <v>A</v>
      </c>
      <c r="F29" s="30" t="str">
        <f t="shared" si="13"/>
        <v>B</v>
      </c>
      <c r="G29" s="30" t="str">
        <f t="shared" si="13"/>
        <v>A</v>
      </c>
      <c r="H29" s="30" t="str">
        <f t="shared" si="13"/>
        <v>C</v>
      </c>
      <c r="I29" s="30" t="str">
        <f t="shared" si="13"/>
        <v>A</v>
      </c>
      <c r="J29" s="30" t="str">
        <f t="shared" si="13"/>
        <v>A</v>
      </c>
      <c r="K29" s="30" t="str">
        <f t="shared" si="13"/>
        <v>B</v>
      </c>
      <c r="L29" s="30" t="str">
        <f t="shared" si="13"/>
        <v>A</v>
      </c>
      <c r="M29" s="30" t="str">
        <f t="shared" si="13"/>
        <v>A</v>
      </c>
      <c r="N29" s="30" t="str">
        <f t="shared" si="13"/>
        <v>B</v>
      </c>
      <c r="O29" s="30" t="str">
        <f t="shared" si="13"/>
        <v>A</v>
      </c>
      <c r="P29" s="30"/>
    </row>
    <row r="30" spans="1:16" s="5" customFormat="1" ht="13.5" customHeight="1" x14ac:dyDescent="0.25">
      <c r="A30" s="14">
        <v>14</v>
      </c>
      <c r="B30" s="17" t="s">
        <v>420</v>
      </c>
      <c r="C30" s="2" t="s">
        <v>726</v>
      </c>
      <c r="D30" s="4" t="s">
        <v>375</v>
      </c>
      <c r="E30" s="48">
        <v>93</v>
      </c>
      <c r="F30" s="48">
        <v>75</v>
      </c>
      <c r="G30" s="48">
        <v>86</v>
      </c>
      <c r="H30" s="48">
        <v>81</v>
      </c>
      <c r="I30" s="48">
        <v>84</v>
      </c>
      <c r="J30" s="48">
        <v>83</v>
      </c>
      <c r="K30" s="48">
        <v>62</v>
      </c>
      <c r="L30" s="48">
        <v>80</v>
      </c>
      <c r="M30" s="48">
        <v>98</v>
      </c>
      <c r="N30" s="48">
        <v>95</v>
      </c>
      <c r="O30" s="48">
        <v>100</v>
      </c>
      <c r="P30" s="58">
        <f t="shared" si="1"/>
        <v>85.181818181818187</v>
      </c>
    </row>
    <row r="31" spans="1:16" s="5" customFormat="1" ht="13.5" customHeight="1" x14ac:dyDescent="0.3">
      <c r="A31" s="14"/>
      <c r="B31" s="17"/>
      <c r="C31" s="2"/>
      <c r="D31" s="4"/>
      <c r="E31" s="30" t="str">
        <f t="shared" ref="E31:O31" si="14">IF(E30&gt;=90,"A",IF(E30&gt;=80,"B",IF(E30&gt;=70,"C",IF(E30&gt;=60,"D","F"))))</f>
        <v>A</v>
      </c>
      <c r="F31" s="30" t="str">
        <f t="shared" si="14"/>
        <v>C</v>
      </c>
      <c r="G31" s="30" t="str">
        <f t="shared" si="14"/>
        <v>B</v>
      </c>
      <c r="H31" s="30" t="str">
        <f t="shared" si="14"/>
        <v>B</v>
      </c>
      <c r="I31" s="30" t="str">
        <f t="shared" si="14"/>
        <v>B</v>
      </c>
      <c r="J31" s="30" t="str">
        <f t="shared" si="14"/>
        <v>B</v>
      </c>
      <c r="K31" s="30" t="str">
        <f t="shared" si="14"/>
        <v>D</v>
      </c>
      <c r="L31" s="30" t="str">
        <f t="shared" si="14"/>
        <v>B</v>
      </c>
      <c r="M31" s="30" t="str">
        <f t="shared" si="14"/>
        <v>A</v>
      </c>
      <c r="N31" s="30" t="str">
        <f t="shared" si="14"/>
        <v>A</v>
      </c>
      <c r="O31" s="30" t="str">
        <f t="shared" si="14"/>
        <v>A</v>
      </c>
      <c r="P31" s="30"/>
    </row>
    <row r="32" spans="1:16" s="5" customFormat="1" ht="13.5" customHeight="1" x14ac:dyDescent="0.25">
      <c r="A32" s="14">
        <v>15</v>
      </c>
      <c r="B32" s="17" t="s">
        <v>369</v>
      </c>
      <c r="C32" s="2" t="s">
        <v>727</v>
      </c>
      <c r="D32" s="4" t="s">
        <v>376</v>
      </c>
      <c r="E32" s="48">
        <v>90</v>
      </c>
      <c r="F32" s="48">
        <v>82</v>
      </c>
      <c r="G32" s="48">
        <v>73</v>
      </c>
      <c r="H32" s="48">
        <v>71</v>
      </c>
      <c r="I32" s="48">
        <v>68</v>
      </c>
      <c r="J32" s="48">
        <v>67</v>
      </c>
      <c r="K32" s="48">
        <v>63</v>
      </c>
      <c r="L32" s="48">
        <v>84</v>
      </c>
      <c r="M32" s="48">
        <v>97</v>
      </c>
      <c r="N32" s="48">
        <v>96</v>
      </c>
      <c r="O32" s="48">
        <v>98</v>
      </c>
      <c r="P32" s="58">
        <f t="shared" si="1"/>
        <v>80.818181818181813</v>
      </c>
    </row>
    <row r="33" spans="1:16" s="5" customFormat="1" ht="13.5" customHeight="1" x14ac:dyDescent="0.3">
      <c r="A33" s="14"/>
      <c r="B33" s="17"/>
      <c r="C33" s="2"/>
      <c r="D33" s="4"/>
      <c r="E33" s="30" t="str">
        <f t="shared" ref="E33:O33" si="15">IF(E32&gt;=90,"A",IF(E32&gt;=80,"B",IF(E32&gt;=70,"C",IF(E32&gt;=60,"D","F"))))</f>
        <v>A</v>
      </c>
      <c r="F33" s="30" t="str">
        <f t="shared" si="15"/>
        <v>B</v>
      </c>
      <c r="G33" s="30" t="str">
        <f t="shared" si="15"/>
        <v>C</v>
      </c>
      <c r="H33" s="30" t="str">
        <f t="shared" si="15"/>
        <v>C</v>
      </c>
      <c r="I33" s="30" t="str">
        <f t="shared" si="15"/>
        <v>D</v>
      </c>
      <c r="J33" s="30" t="str">
        <f t="shared" si="15"/>
        <v>D</v>
      </c>
      <c r="K33" s="30" t="str">
        <f t="shared" si="15"/>
        <v>D</v>
      </c>
      <c r="L33" s="30" t="str">
        <f t="shared" si="15"/>
        <v>B</v>
      </c>
      <c r="M33" s="30" t="str">
        <f t="shared" si="15"/>
        <v>A</v>
      </c>
      <c r="N33" s="30" t="str">
        <f t="shared" si="15"/>
        <v>A</v>
      </c>
      <c r="O33" s="30" t="str">
        <f t="shared" si="15"/>
        <v>A</v>
      </c>
      <c r="P33" s="30"/>
    </row>
    <row r="34" spans="1:16" s="5" customFormat="1" ht="13.5" customHeight="1" x14ac:dyDescent="0.25">
      <c r="A34" s="14">
        <v>16</v>
      </c>
      <c r="B34" s="17" t="s">
        <v>370</v>
      </c>
      <c r="C34" s="2" t="s">
        <v>728</v>
      </c>
      <c r="D34" s="4" t="s">
        <v>375</v>
      </c>
      <c r="E34" s="48">
        <v>94</v>
      </c>
      <c r="F34" s="48">
        <v>85</v>
      </c>
      <c r="G34" s="48">
        <v>83</v>
      </c>
      <c r="H34" s="48">
        <v>78</v>
      </c>
      <c r="I34" s="48">
        <v>87</v>
      </c>
      <c r="J34" s="48">
        <v>91</v>
      </c>
      <c r="K34" s="48">
        <v>86</v>
      </c>
      <c r="L34" s="48">
        <v>85</v>
      </c>
      <c r="M34" s="48">
        <v>95</v>
      </c>
      <c r="N34" s="48">
        <v>99</v>
      </c>
      <c r="O34" s="48">
        <v>100</v>
      </c>
      <c r="P34" s="58">
        <f t="shared" si="1"/>
        <v>89.36363636363636</v>
      </c>
    </row>
    <row r="35" spans="1:16" ht="15.75" x14ac:dyDescent="0.3">
      <c r="A35" s="25"/>
      <c r="B35" s="20"/>
      <c r="C35" s="20"/>
      <c r="D35" s="6"/>
      <c r="E35" s="30" t="str">
        <f t="shared" ref="E35:O35" si="16">IF(E34&gt;=90,"A",IF(E34&gt;=80,"B",IF(E34&gt;=70,"C",IF(E34&gt;=60,"D","F"))))</f>
        <v>A</v>
      </c>
      <c r="F35" s="30" t="str">
        <f t="shared" si="16"/>
        <v>B</v>
      </c>
      <c r="G35" s="30" t="str">
        <f t="shared" si="16"/>
        <v>B</v>
      </c>
      <c r="H35" s="30" t="str">
        <f t="shared" si="16"/>
        <v>C</v>
      </c>
      <c r="I35" s="30" t="str">
        <f t="shared" si="16"/>
        <v>B</v>
      </c>
      <c r="J35" s="30" t="str">
        <f t="shared" si="16"/>
        <v>A</v>
      </c>
      <c r="K35" s="30" t="str">
        <f t="shared" si="16"/>
        <v>B</v>
      </c>
      <c r="L35" s="30" t="str">
        <f t="shared" si="16"/>
        <v>B</v>
      </c>
      <c r="M35" s="30" t="str">
        <f t="shared" si="16"/>
        <v>A</v>
      </c>
      <c r="N35" s="30" t="str">
        <f t="shared" si="16"/>
        <v>A</v>
      </c>
      <c r="O35" s="30" t="str">
        <f t="shared" si="16"/>
        <v>A</v>
      </c>
      <c r="P35" s="30"/>
    </row>
  </sheetData>
  <sheetProtection formatCells="0" formatColumns="0" formatRows="0" insertColumns="0" insertRows="0" insertHyperlinks="0" deleteColumns="0" deleteRows="0" sort="0" autoFilter="0" pivotTables="0"/>
  <autoFilter ref="A1:D34" xr:uid="{00000000-0009-0000-0000-00001A000000}">
    <filterColumn colId="0" showButton="0"/>
  </autoFilter>
  <mergeCells count="1">
    <mergeCell ref="A1:B2"/>
  </mergeCells>
  <pageMargins left="0.23" right="0.17" top="0.83" bottom="0" header="0.17" footer="0.3"/>
  <pageSetup paperSize="9" orientation="landscape" r:id="rId1"/>
  <headerFooter>
    <oddFooter xml:space="preserve">&amp;C
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45"/>
  <sheetViews>
    <sheetView zoomScaleNormal="100" workbookViewId="0">
      <selection activeCell="I1" sqref="I1"/>
    </sheetView>
  </sheetViews>
  <sheetFormatPr defaultRowHeight="15" x14ac:dyDescent="0.25"/>
  <cols>
    <col min="1" max="1" width="6" style="13" customWidth="1"/>
    <col min="2" max="2" width="19.42578125" style="28" customWidth="1"/>
    <col min="3" max="3" width="11.140625" style="28" bestFit="1" customWidth="1"/>
    <col min="4" max="4" width="4.7109375" style="7" customWidth="1"/>
    <col min="5" max="5" width="8.28515625" style="46" customWidth="1"/>
    <col min="6" max="6" width="9" style="46" customWidth="1"/>
    <col min="7" max="7" width="12.5703125" style="46" bestFit="1" customWidth="1"/>
    <col min="8" max="8" width="9.7109375" style="46" customWidth="1"/>
    <col min="9" max="9" width="9" style="46" customWidth="1"/>
    <col min="10" max="10" width="10.140625" style="46" customWidth="1"/>
    <col min="11" max="11" width="15.140625" style="46" customWidth="1"/>
    <col min="12" max="12" width="7.7109375" style="46" customWidth="1"/>
    <col min="13" max="13" width="10.28515625" style="46" customWidth="1"/>
    <col min="14" max="14" width="7.140625" style="46" customWidth="1"/>
    <col min="15" max="15" width="11.5703125" style="46" customWidth="1"/>
    <col min="16" max="16384" width="9.140625" style="2"/>
  </cols>
  <sheetData>
    <row r="1" spans="1:16" ht="6" customHeight="1" x14ac:dyDescent="0.25">
      <c r="A1" s="89" t="s">
        <v>751</v>
      </c>
      <c r="B1" s="90"/>
      <c r="C1" s="80"/>
    </row>
    <row r="2" spans="1:16" ht="10.5" customHeight="1" x14ac:dyDescent="0.25">
      <c r="A2" s="90"/>
      <c r="B2" s="90"/>
      <c r="C2" s="80"/>
    </row>
    <row r="3" spans="1:16" s="75" customFormat="1" ht="25.5" customHeight="1" x14ac:dyDescent="0.25">
      <c r="A3" s="68" t="s">
        <v>0</v>
      </c>
      <c r="B3" s="69" t="s">
        <v>1</v>
      </c>
      <c r="C3" s="69"/>
      <c r="D3" s="70" t="s">
        <v>2</v>
      </c>
      <c r="E3" s="71" t="s">
        <v>426</v>
      </c>
      <c r="F3" s="71" t="s">
        <v>427</v>
      </c>
      <c r="G3" s="71" t="s">
        <v>456</v>
      </c>
      <c r="H3" s="71" t="s">
        <v>439</v>
      </c>
      <c r="I3" s="71" t="s">
        <v>440</v>
      </c>
      <c r="J3" s="71" t="s">
        <v>441</v>
      </c>
      <c r="K3" s="71" t="s">
        <v>827</v>
      </c>
      <c r="L3" s="71" t="s">
        <v>437</v>
      </c>
      <c r="M3" s="71" t="s">
        <v>445</v>
      </c>
      <c r="N3" s="72" t="s">
        <v>438</v>
      </c>
      <c r="O3" s="72" t="s">
        <v>442</v>
      </c>
      <c r="P3" s="72" t="s">
        <v>450</v>
      </c>
    </row>
    <row r="4" spans="1:16" s="5" customFormat="1" ht="13.5" customHeight="1" x14ac:dyDescent="0.25">
      <c r="A4" s="14">
        <v>1</v>
      </c>
      <c r="B4" s="17" t="s">
        <v>296</v>
      </c>
      <c r="C4" s="2" t="s">
        <v>730</v>
      </c>
      <c r="D4" s="4" t="s">
        <v>375</v>
      </c>
      <c r="E4" s="48">
        <v>93.9</v>
      </c>
      <c r="F4" s="48">
        <v>96</v>
      </c>
      <c r="G4" s="48">
        <v>88</v>
      </c>
      <c r="H4" s="48">
        <v>86</v>
      </c>
      <c r="I4" s="48">
        <v>83.5</v>
      </c>
      <c r="J4" s="48">
        <v>83</v>
      </c>
      <c r="K4" s="48">
        <v>90</v>
      </c>
      <c r="L4" s="48">
        <v>80</v>
      </c>
      <c r="M4" s="48">
        <v>95</v>
      </c>
      <c r="N4" s="48">
        <v>95</v>
      </c>
      <c r="O4" s="48">
        <v>91</v>
      </c>
      <c r="P4" s="58">
        <f>AVERAGE(E4:O4)</f>
        <v>89.218181818181819</v>
      </c>
    </row>
    <row r="5" spans="1:16" s="5" customFormat="1" ht="13.5" customHeight="1" x14ac:dyDescent="0.3">
      <c r="A5" s="14"/>
      <c r="B5" s="17"/>
      <c r="C5" s="2"/>
      <c r="D5" s="4"/>
      <c r="E5" s="30" t="str">
        <f t="shared" ref="E5:O5" si="0">IF(E4&gt;=90,"A",IF(E4&gt;=80,"B",IF(E4&gt;=70,"C",IF(E4&gt;=60,"D","F"))))</f>
        <v>A</v>
      </c>
      <c r="F5" s="30" t="str">
        <f t="shared" si="0"/>
        <v>A</v>
      </c>
      <c r="G5" s="30" t="str">
        <f t="shared" si="0"/>
        <v>B</v>
      </c>
      <c r="H5" s="30" t="str">
        <f t="shared" si="0"/>
        <v>B</v>
      </c>
      <c r="I5" s="30" t="str">
        <f t="shared" si="0"/>
        <v>B</v>
      </c>
      <c r="J5" s="30" t="str">
        <f t="shared" si="0"/>
        <v>B</v>
      </c>
      <c r="K5" s="30" t="str">
        <f t="shared" si="0"/>
        <v>A</v>
      </c>
      <c r="L5" s="30" t="str">
        <f t="shared" si="0"/>
        <v>B</v>
      </c>
      <c r="M5" s="30" t="str">
        <f t="shared" si="0"/>
        <v>A</v>
      </c>
      <c r="N5" s="30" t="str">
        <f t="shared" si="0"/>
        <v>A</v>
      </c>
      <c r="O5" s="30" t="str">
        <f t="shared" si="0"/>
        <v>A</v>
      </c>
      <c r="P5" s="30"/>
    </row>
    <row r="6" spans="1:16" s="5" customFormat="1" ht="13.5" customHeight="1" x14ac:dyDescent="0.25">
      <c r="A6" s="14">
        <v>2</v>
      </c>
      <c r="B6" s="17" t="s">
        <v>297</v>
      </c>
      <c r="C6" s="2" t="s">
        <v>731</v>
      </c>
      <c r="D6" s="4" t="s">
        <v>376</v>
      </c>
      <c r="E6" s="48">
        <v>95.6</v>
      </c>
      <c r="F6" s="48">
        <v>95</v>
      </c>
      <c r="G6" s="48">
        <v>83</v>
      </c>
      <c r="H6" s="48">
        <v>85.5</v>
      </c>
      <c r="I6" s="48">
        <v>82</v>
      </c>
      <c r="J6" s="48">
        <v>81</v>
      </c>
      <c r="K6" s="48">
        <v>86</v>
      </c>
      <c r="L6" s="48">
        <v>82</v>
      </c>
      <c r="M6" s="48">
        <v>95</v>
      </c>
      <c r="N6" s="48">
        <v>86</v>
      </c>
      <c r="O6" s="48">
        <v>98</v>
      </c>
      <c r="P6" s="58">
        <f t="shared" ref="P6:P44" si="1">AVERAGE(E6:O6)</f>
        <v>88.100000000000009</v>
      </c>
    </row>
    <row r="7" spans="1:16" s="5" customFormat="1" ht="13.5" customHeight="1" x14ac:dyDescent="0.3">
      <c r="A7" s="14"/>
      <c r="B7" s="17"/>
      <c r="C7" s="2"/>
      <c r="D7" s="4"/>
      <c r="E7" s="30" t="str">
        <f t="shared" ref="E7:O7" si="2">IF(E6&gt;=90,"A",IF(E6&gt;=80,"B",IF(E6&gt;=70,"C",IF(E6&gt;=60,"D","F"))))</f>
        <v>A</v>
      </c>
      <c r="F7" s="30" t="str">
        <f t="shared" si="2"/>
        <v>A</v>
      </c>
      <c r="G7" s="30" t="str">
        <f t="shared" si="2"/>
        <v>B</v>
      </c>
      <c r="H7" s="30" t="str">
        <f t="shared" si="2"/>
        <v>B</v>
      </c>
      <c r="I7" s="30" t="str">
        <f t="shared" si="2"/>
        <v>B</v>
      </c>
      <c r="J7" s="30" t="str">
        <f t="shared" si="2"/>
        <v>B</v>
      </c>
      <c r="K7" s="30" t="str">
        <f t="shared" si="2"/>
        <v>B</v>
      </c>
      <c r="L7" s="30" t="str">
        <f t="shared" si="2"/>
        <v>B</v>
      </c>
      <c r="M7" s="30" t="str">
        <f t="shared" si="2"/>
        <v>A</v>
      </c>
      <c r="N7" s="30" t="str">
        <f t="shared" si="2"/>
        <v>B</v>
      </c>
      <c r="O7" s="30" t="str">
        <f t="shared" si="2"/>
        <v>A</v>
      </c>
      <c r="P7" s="58"/>
    </row>
    <row r="8" spans="1:16" s="5" customFormat="1" ht="13.5" customHeight="1" x14ac:dyDescent="0.25">
      <c r="A8" s="14">
        <v>3</v>
      </c>
      <c r="B8" s="17" t="s">
        <v>298</v>
      </c>
      <c r="C8" s="2" t="s">
        <v>732</v>
      </c>
      <c r="D8" s="4" t="s">
        <v>376</v>
      </c>
      <c r="E8" s="48">
        <v>83</v>
      </c>
      <c r="F8" s="48">
        <v>87</v>
      </c>
      <c r="G8" s="48">
        <v>74</v>
      </c>
      <c r="H8" s="48">
        <v>83</v>
      </c>
      <c r="I8" s="48">
        <v>77</v>
      </c>
      <c r="J8" s="48">
        <v>78</v>
      </c>
      <c r="K8" s="48">
        <v>85</v>
      </c>
      <c r="L8" s="48">
        <v>84</v>
      </c>
      <c r="M8" s="48">
        <v>96</v>
      </c>
      <c r="N8" s="48">
        <v>84</v>
      </c>
      <c r="O8" s="48">
        <v>94</v>
      </c>
      <c r="P8" s="58">
        <f t="shared" si="1"/>
        <v>84.090909090909093</v>
      </c>
    </row>
    <row r="9" spans="1:16" s="5" customFormat="1" ht="13.5" customHeight="1" x14ac:dyDescent="0.3">
      <c r="A9" s="14"/>
      <c r="B9" s="17"/>
      <c r="C9" s="2"/>
      <c r="D9" s="4"/>
      <c r="E9" s="30" t="str">
        <f t="shared" ref="E9:O9" si="3">IF(E8&gt;=90,"A",IF(E8&gt;=80,"B",IF(E8&gt;=70,"C",IF(E8&gt;=60,"D","F"))))</f>
        <v>B</v>
      </c>
      <c r="F9" s="30" t="str">
        <f t="shared" si="3"/>
        <v>B</v>
      </c>
      <c r="G9" s="30" t="str">
        <f t="shared" si="3"/>
        <v>C</v>
      </c>
      <c r="H9" s="30" t="str">
        <f t="shared" si="3"/>
        <v>B</v>
      </c>
      <c r="I9" s="30" t="str">
        <f t="shared" si="3"/>
        <v>C</v>
      </c>
      <c r="J9" s="30" t="str">
        <f t="shared" si="3"/>
        <v>C</v>
      </c>
      <c r="K9" s="30" t="str">
        <f t="shared" si="3"/>
        <v>B</v>
      </c>
      <c r="L9" s="30" t="str">
        <f t="shared" si="3"/>
        <v>B</v>
      </c>
      <c r="M9" s="30" t="str">
        <f t="shared" si="3"/>
        <v>A</v>
      </c>
      <c r="N9" s="30" t="str">
        <f t="shared" si="3"/>
        <v>B</v>
      </c>
      <c r="O9" s="30" t="str">
        <f t="shared" si="3"/>
        <v>A</v>
      </c>
      <c r="P9" s="58"/>
    </row>
    <row r="10" spans="1:16" s="5" customFormat="1" ht="13.5" customHeight="1" x14ac:dyDescent="0.25">
      <c r="A10" s="14">
        <v>4</v>
      </c>
      <c r="B10" s="17" t="s">
        <v>299</v>
      </c>
      <c r="C10" s="2" t="s">
        <v>734</v>
      </c>
      <c r="D10" s="4" t="s">
        <v>376</v>
      </c>
      <c r="E10" s="48">
        <v>71.7</v>
      </c>
      <c r="F10" s="48">
        <v>72</v>
      </c>
      <c r="G10" s="48">
        <v>71</v>
      </c>
      <c r="H10" s="48">
        <v>72.7</v>
      </c>
      <c r="I10" s="48">
        <v>70</v>
      </c>
      <c r="J10" s="48">
        <v>76</v>
      </c>
      <c r="K10" s="48">
        <v>80</v>
      </c>
      <c r="L10" s="48">
        <v>75</v>
      </c>
      <c r="M10" s="48">
        <v>89</v>
      </c>
      <c r="N10" s="48">
        <v>85</v>
      </c>
      <c r="O10" s="48">
        <v>96.5</v>
      </c>
      <c r="P10" s="58">
        <f t="shared" si="1"/>
        <v>78.081818181818178</v>
      </c>
    </row>
    <row r="11" spans="1:16" s="5" customFormat="1" ht="13.5" customHeight="1" x14ac:dyDescent="0.3">
      <c r="A11" s="14"/>
      <c r="B11" s="17"/>
      <c r="D11" s="4"/>
      <c r="E11" s="30" t="str">
        <f t="shared" ref="E11:O11" si="4">IF(E10&gt;=90,"A",IF(E10&gt;=80,"B",IF(E10&gt;=70,"C",IF(E10&gt;=60,"D","F"))))</f>
        <v>C</v>
      </c>
      <c r="F11" s="30" t="str">
        <f t="shared" si="4"/>
        <v>C</v>
      </c>
      <c r="G11" s="30" t="str">
        <f t="shared" si="4"/>
        <v>C</v>
      </c>
      <c r="H11" s="30" t="str">
        <f t="shared" si="4"/>
        <v>C</v>
      </c>
      <c r="I11" s="30" t="str">
        <f t="shared" si="4"/>
        <v>C</v>
      </c>
      <c r="J11" s="30" t="str">
        <f t="shared" si="4"/>
        <v>C</v>
      </c>
      <c r="K11" s="30" t="str">
        <f t="shared" si="4"/>
        <v>B</v>
      </c>
      <c r="L11" s="30" t="str">
        <f t="shared" si="4"/>
        <v>C</v>
      </c>
      <c r="M11" s="30" t="str">
        <f t="shared" si="4"/>
        <v>B</v>
      </c>
      <c r="N11" s="30" t="str">
        <f t="shared" si="4"/>
        <v>B</v>
      </c>
      <c r="O11" s="30" t="str">
        <f t="shared" si="4"/>
        <v>A</v>
      </c>
      <c r="P11" s="58"/>
    </row>
    <row r="12" spans="1:16" s="5" customFormat="1" ht="13.5" customHeight="1" x14ac:dyDescent="0.25">
      <c r="A12" s="14">
        <v>5</v>
      </c>
      <c r="B12" s="17" t="s">
        <v>300</v>
      </c>
      <c r="C12" s="2" t="s">
        <v>733</v>
      </c>
      <c r="D12" s="4" t="s">
        <v>376</v>
      </c>
      <c r="E12" s="48">
        <v>72.5</v>
      </c>
      <c r="F12" s="48">
        <v>96</v>
      </c>
      <c r="G12" s="48">
        <v>80</v>
      </c>
      <c r="H12" s="48">
        <v>74.900000000000006</v>
      </c>
      <c r="I12" s="48">
        <v>71</v>
      </c>
      <c r="J12" s="48">
        <v>76</v>
      </c>
      <c r="K12" s="48">
        <v>81</v>
      </c>
      <c r="L12" s="48">
        <v>90</v>
      </c>
      <c r="M12" s="48">
        <v>94</v>
      </c>
      <c r="N12" s="48">
        <v>80</v>
      </c>
      <c r="O12" s="48">
        <v>96</v>
      </c>
      <c r="P12" s="58">
        <f t="shared" si="1"/>
        <v>82.854545454545459</v>
      </c>
    </row>
    <row r="13" spans="1:16" s="5" customFormat="1" ht="13.5" customHeight="1" x14ac:dyDescent="0.3">
      <c r="A13" s="14"/>
      <c r="B13" s="17"/>
      <c r="C13" s="2"/>
      <c r="D13" s="4"/>
      <c r="E13" s="30" t="str">
        <f t="shared" ref="E13:O13" si="5">IF(E12&gt;=90,"A",IF(E12&gt;=80,"B",IF(E12&gt;=70,"C",IF(E12&gt;=60,"D","F"))))</f>
        <v>C</v>
      </c>
      <c r="F13" s="30" t="str">
        <f t="shared" si="5"/>
        <v>A</v>
      </c>
      <c r="G13" s="30" t="str">
        <f t="shared" si="5"/>
        <v>B</v>
      </c>
      <c r="H13" s="30" t="str">
        <f t="shared" si="5"/>
        <v>C</v>
      </c>
      <c r="I13" s="30" t="str">
        <f t="shared" si="5"/>
        <v>C</v>
      </c>
      <c r="J13" s="30" t="str">
        <f t="shared" si="5"/>
        <v>C</v>
      </c>
      <c r="K13" s="30" t="str">
        <f t="shared" si="5"/>
        <v>B</v>
      </c>
      <c r="L13" s="30" t="str">
        <f t="shared" si="5"/>
        <v>A</v>
      </c>
      <c r="M13" s="30" t="str">
        <f t="shared" si="5"/>
        <v>A</v>
      </c>
      <c r="N13" s="30" t="str">
        <f t="shared" si="5"/>
        <v>B</v>
      </c>
      <c r="O13" s="30" t="str">
        <f t="shared" si="5"/>
        <v>A</v>
      </c>
      <c r="P13" s="58"/>
    </row>
    <row r="14" spans="1:16" s="5" customFormat="1" ht="13.5" customHeight="1" x14ac:dyDescent="0.25">
      <c r="A14" s="14">
        <v>6</v>
      </c>
      <c r="B14" s="17" t="s">
        <v>382</v>
      </c>
      <c r="C14" s="2" t="s">
        <v>735</v>
      </c>
      <c r="D14" s="4" t="s">
        <v>376</v>
      </c>
      <c r="E14" s="48">
        <v>76</v>
      </c>
      <c r="F14" s="62">
        <v>0</v>
      </c>
      <c r="G14" s="48">
        <v>75</v>
      </c>
      <c r="H14" s="48">
        <v>71.400000000000006</v>
      </c>
      <c r="I14" s="48">
        <v>66.5</v>
      </c>
      <c r="J14" s="48">
        <v>80</v>
      </c>
      <c r="K14" s="48">
        <v>78</v>
      </c>
      <c r="L14" s="62">
        <v>0</v>
      </c>
      <c r="M14" s="48">
        <v>88</v>
      </c>
      <c r="N14" s="48">
        <v>85</v>
      </c>
      <c r="O14" s="48">
        <v>96</v>
      </c>
      <c r="P14" s="58">
        <f t="shared" si="1"/>
        <v>65.081818181818178</v>
      </c>
    </row>
    <row r="15" spans="1:16" s="5" customFormat="1" ht="13.5" customHeight="1" x14ac:dyDescent="0.3">
      <c r="A15" s="14"/>
      <c r="B15" s="17"/>
      <c r="C15" s="2"/>
      <c r="D15" s="4"/>
      <c r="E15" s="30" t="str">
        <f t="shared" ref="E15:O15" si="6">IF(E14&gt;=90,"A",IF(E14&gt;=80,"B",IF(E14&gt;=70,"C",IF(E14&gt;=60,"D","F"))))</f>
        <v>C</v>
      </c>
      <c r="F15" s="30" t="str">
        <f t="shared" si="6"/>
        <v>F</v>
      </c>
      <c r="G15" s="30" t="str">
        <f t="shared" si="6"/>
        <v>C</v>
      </c>
      <c r="H15" s="30" t="str">
        <f t="shared" si="6"/>
        <v>C</v>
      </c>
      <c r="I15" s="30" t="str">
        <f t="shared" si="6"/>
        <v>D</v>
      </c>
      <c r="J15" s="30" t="str">
        <f t="shared" si="6"/>
        <v>B</v>
      </c>
      <c r="K15" s="30" t="str">
        <f t="shared" si="6"/>
        <v>C</v>
      </c>
      <c r="L15" s="30" t="str">
        <f t="shared" si="6"/>
        <v>F</v>
      </c>
      <c r="M15" s="30" t="str">
        <f t="shared" si="6"/>
        <v>B</v>
      </c>
      <c r="N15" s="30" t="str">
        <f t="shared" si="6"/>
        <v>B</v>
      </c>
      <c r="O15" s="30" t="str">
        <f t="shared" si="6"/>
        <v>A</v>
      </c>
      <c r="P15" s="58"/>
    </row>
    <row r="16" spans="1:16" s="5" customFormat="1" ht="13.5" customHeight="1" x14ac:dyDescent="0.25">
      <c r="A16" s="14">
        <v>7</v>
      </c>
      <c r="B16" s="17" t="s">
        <v>301</v>
      </c>
      <c r="C16" s="2" t="s">
        <v>736</v>
      </c>
      <c r="D16" s="4" t="s">
        <v>375</v>
      </c>
      <c r="E16" s="48">
        <v>62.5</v>
      </c>
      <c r="F16" s="48">
        <v>78</v>
      </c>
      <c r="G16" s="48">
        <v>74</v>
      </c>
      <c r="H16" s="48">
        <v>76</v>
      </c>
      <c r="I16" s="48">
        <v>68</v>
      </c>
      <c r="J16" s="48">
        <v>60</v>
      </c>
      <c r="K16" s="48">
        <v>85</v>
      </c>
      <c r="L16" s="48">
        <v>75.5</v>
      </c>
      <c r="M16" s="48">
        <v>87</v>
      </c>
      <c r="N16" s="48">
        <v>93</v>
      </c>
      <c r="O16" s="48">
        <v>96</v>
      </c>
      <c r="P16" s="58">
        <f t="shared" si="1"/>
        <v>77.727272727272734</v>
      </c>
    </row>
    <row r="17" spans="1:16" s="5" customFormat="1" ht="13.5" customHeight="1" x14ac:dyDescent="0.3">
      <c r="A17" s="14"/>
      <c r="B17" s="17"/>
      <c r="C17" s="2"/>
      <c r="D17" s="4"/>
      <c r="E17" s="30" t="str">
        <f t="shared" ref="E17:O17" si="7">IF(E16&gt;=90,"A",IF(E16&gt;=80,"B",IF(E16&gt;=70,"C",IF(E16&gt;=60,"D","F"))))</f>
        <v>D</v>
      </c>
      <c r="F17" s="30" t="str">
        <f t="shared" si="7"/>
        <v>C</v>
      </c>
      <c r="G17" s="30" t="str">
        <f t="shared" si="7"/>
        <v>C</v>
      </c>
      <c r="H17" s="30" t="str">
        <f t="shared" si="7"/>
        <v>C</v>
      </c>
      <c r="I17" s="30" t="str">
        <f t="shared" si="7"/>
        <v>D</v>
      </c>
      <c r="J17" s="30" t="str">
        <f t="shared" si="7"/>
        <v>D</v>
      </c>
      <c r="K17" s="30" t="str">
        <f t="shared" si="7"/>
        <v>B</v>
      </c>
      <c r="L17" s="30" t="str">
        <f t="shared" si="7"/>
        <v>C</v>
      </c>
      <c r="M17" s="30" t="str">
        <f t="shared" si="7"/>
        <v>B</v>
      </c>
      <c r="N17" s="30" t="str">
        <f t="shared" si="7"/>
        <v>A</v>
      </c>
      <c r="O17" s="30" t="str">
        <f t="shared" si="7"/>
        <v>A</v>
      </c>
      <c r="P17" s="58"/>
    </row>
    <row r="18" spans="1:16" s="5" customFormat="1" ht="13.5" customHeight="1" x14ac:dyDescent="0.25">
      <c r="A18" s="14">
        <v>8</v>
      </c>
      <c r="B18" s="17" t="s">
        <v>302</v>
      </c>
      <c r="C18" s="2" t="s">
        <v>737</v>
      </c>
      <c r="D18" s="4" t="s">
        <v>375</v>
      </c>
      <c r="E18" s="48">
        <v>79.8</v>
      </c>
      <c r="F18" s="48">
        <v>77</v>
      </c>
      <c r="G18" s="48">
        <v>75</v>
      </c>
      <c r="H18" s="48">
        <v>76.599999999999994</v>
      </c>
      <c r="I18" s="48">
        <v>71.5</v>
      </c>
      <c r="J18" s="48">
        <v>75</v>
      </c>
      <c r="K18" s="48">
        <v>91</v>
      </c>
      <c r="L18" s="48">
        <v>75.5</v>
      </c>
      <c r="M18" s="48">
        <v>91</v>
      </c>
      <c r="N18" s="48">
        <v>82</v>
      </c>
      <c r="O18" s="48">
        <v>96</v>
      </c>
      <c r="P18" s="58">
        <f t="shared" si="1"/>
        <v>80.945454545454538</v>
      </c>
    </row>
    <row r="19" spans="1:16" s="5" customFormat="1" ht="13.5" customHeight="1" x14ac:dyDescent="0.3">
      <c r="A19" s="14"/>
      <c r="B19" s="17"/>
      <c r="C19" s="2"/>
      <c r="D19" s="4"/>
      <c r="E19" s="30" t="str">
        <f t="shared" ref="E19:O19" si="8">IF(E18&gt;=90,"A",IF(E18&gt;=80,"B",IF(E18&gt;=70,"C",IF(E18&gt;=60,"D","F"))))</f>
        <v>C</v>
      </c>
      <c r="F19" s="30" t="str">
        <f t="shared" si="8"/>
        <v>C</v>
      </c>
      <c r="G19" s="30" t="str">
        <f t="shared" si="8"/>
        <v>C</v>
      </c>
      <c r="H19" s="30" t="str">
        <f t="shared" si="8"/>
        <v>C</v>
      </c>
      <c r="I19" s="30" t="str">
        <f t="shared" si="8"/>
        <v>C</v>
      </c>
      <c r="J19" s="30" t="str">
        <f t="shared" si="8"/>
        <v>C</v>
      </c>
      <c r="K19" s="30" t="str">
        <f t="shared" si="8"/>
        <v>A</v>
      </c>
      <c r="L19" s="30" t="str">
        <f t="shared" si="8"/>
        <v>C</v>
      </c>
      <c r="M19" s="30" t="str">
        <f t="shared" si="8"/>
        <v>A</v>
      </c>
      <c r="N19" s="30" t="str">
        <f t="shared" si="8"/>
        <v>B</v>
      </c>
      <c r="O19" s="30" t="str">
        <f t="shared" si="8"/>
        <v>A</v>
      </c>
      <c r="P19" s="58"/>
    </row>
    <row r="20" spans="1:16" s="5" customFormat="1" ht="13.5" customHeight="1" x14ac:dyDescent="0.25">
      <c r="A20" s="14">
        <v>9</v>
      </c>
      <c r="B20" s="17" t="s">
        <v>303</v>
      </c>
      <c r="C20" s="2" t="s">
        <v>738</v>
      </c>
      <c r="D20" s="4" t="s">
        <v>376</v>
      </c>
      <c r="E20" s="48">
        <v>67</v>
      </c>
      <c r="F20" s="48">
        <v>82</v>
      </c>
      <c r="G20" s="48">
        <v>65</v>
      </c>
      <c r="H20" s="48">
        <v>70.5</v>
      </c>
      <c r="I20" s="48">
        <v>63</v>
      </c>
      <c r="J20" s="48">
        <v>65</v>
      </c>
      <c r="K20" s="48">
        <v>81</v>
      </c>
      <c r="L20" s="48">
        <v>70</v>
      </c>
      <c r="M20" s="48">
        <v>95</v>
      </c>
      <c r="N20" s="48">
        <v>83</v>
      </c>
      <c r="O20" s="48">
        <v>87.5</v>
      </c>
      <c r="P20" s="58">
        <f t="shared" si="1"/>
        <v>75.36363636363636</v>
      </c>
    </row>
    <row r="21" spans="1:16" s="5" customFormat="1" ht="13.5" customHeight="1" x14ac:dyDescent="0.3">
      <c r="A21" s="14"/>
      <c r="B21" s="17"/>
      <c r="C21" s="2"/>
      <c r="D21" s="4"/>
      <c r="E21" s="30" t="str">
        <f t="shared" ref="E21:O21" si="9">IF(E20&gt;=90,"A",IF(E20&gt;=80,"B",IF(E20&gt;=70,"C",IF(E20&gt;=60,"D","F"))))</f>
        <v>D</v>
      </c>
      <c r="F21" s="30" t="str">
        <f t="shared" si="9"/>
        <v>B</v>
      </c>
      <c r="G21" s="30" t="str">
        <f t="shared" si="9"/>
        <v>D</v>
      </c>
      <c r="H21" s="30" t="str">
        <f t="shared" si="9"/>
        <v>C</v>
      </c>
      <c r="I21" s="30" t="str">
        <f t="shared" si="9"/>
        <v>D</v>
      </c>
      <c r="J21" s="30" t="str">
        <f t="shared" si="9"/>
        <v>D</v>
      </c>
      <c r="K21" s="30" t="str">
        <f t="shared" si="9"/>
        <v>B</v>
      </c>
      <c r="L21" s="30" t="str">
        <f t="shared" si="9"/>
        <v>C</v>
      </c>
      <c r="M21" s="30" t="str">
        <f t="shared" si="9"/>
        <v>A</v>
      </c>
      <c r="N21" s="30" t="str">
        <f t="shared" si="9"/>
        <v>B</v>
      </c>
      <c r="O21" s="30" t="str">
        <f t="shared" si="9"/>
        <v>B</v>
      </c>
      <c r="P21" s="58"/>
    </row>
    <row r="22" spans="1:16" s="5" customFormat="1" ht="13.5" customHeight="1" x14ac:dyDescent="0.25">
      <c r="A22" s="14">
        <v>10</v>
      </c>
      <c r="B22" s="17" t="s">
        <v>304</v>
      </c>
      <c r="C22" s="2" t="s">
        <v>739</v>
      </c>
      <c r="D22" s="4" t="s">
        <v>376</v>
      </c>
      <c r="E22" s="22">
        <v>90</v>
      </c>
      <c r="F22" s="38">
        <v>100</v>
      </c>
      <c r="G22" s="48">
        <v>99</v>
      </c>
      <c r="H22" s="48">
        <v>90</v>
      </c>
      <c r="I22" s="48">
        <v>90</v>
      </c>
      <c r="J22" s="48">
        <v>83</v>
      </c>
      <c r="K22" s="48">
        <v>93</v>
      </c>
      <c r="L22" s="48">
        <v>95</v>
      </c>
      <c r="M22" s="48">
        <v>96</v>
      </c>
      <c r="N22" s="48">
        <v>84</v>
      </c>
      <c r="O22" s="48">
        <v>96</v>
      </c>
      <c r="P22" s="58">
        <f t="shared" si="1"/>
        <v>92.36363636363636</v>
      </c>
    </row>
    <row r="23" spans="1:16" s="5" customFormat="1" ht="13.5" customHeight="1" x14ac:dyDescent="0.3">
      <c r="A23" s="14"/>
      <c r="B23" s="17"/>
      <c r="C23" s="2"/>
      <c r="D23" s="4"/>
      <c r="E23" s="30" t="str">
        <f t="shared" ref="E23:O23" si="10">IF(E22&gt;=90,"A",IF(E22&gt;=80,"B",IF(E22&gt;=70,"C",IF(E22&gt;=60,"D","F"))))</f>
        <v>A</v>
      </c>
      <c r="F23" s="30" t="str">
        <f t="shared" si="10"/>
        <v>A</v>
      </c>
      <c r="G23" s="30" t="str">
        <f t="shared" si="10"/>
        <v>A</v>
      </c>
      <c r="H23" s="30" t="str">
        <f t="shared" si="10"/>
        <v>A</v>
      </c>
      <c r="I23" s="30" t="str">
        <f t="shared" si="10"/>
        <v>A</v>
      </c>
      <c r="J23" s="30" t="str">
        <f t="shared" si="10"/>
        <v>B</v>
      </c>
      <c r="K23" s="30" t="str">
        <f t="shared" si="10"/>
        <v>A</v>
      </c>
      <c r="L23" s="30" t="str">
        <f t="shared" si="10"/>
        <v>A</v>
      </c>
      <c r="M23" s="30" t="str">
        <f t="shared" si="10"/>
        <v>A</v>
      </c>
      <c r="N23" s="30" t="str">
        <f t="shared" si="10"/>
        <v>B</v>
      </c>
      <c r="O23" s="30" t="str">
        <f t="shared" si="10"/>
        <v>A</v>
      </c>
      <c r="P23" s="58"/>
    </row>
    <row r="24" spans="1:16" s="5" customFormat="1" ht="13.5" customHeight="1" x14ac:dyDescent="0.25">
      <c r="A24" s="14">
        <v>11</v>
      </c>
      <c r="B24" s="17" t="s">
        <v>305</v>
      </c>
      <c r="C24" s="2" t="s">
        <v>740</v>
      </c>
      <c r="D24" s="4" t="s">
        <v>375</v>
      </c>
      <c r="E24" s="48">
        <v>91</v>
      </c>
      <c r="F24" s="48">
        <v>94</v>
      </c>
      <c r="G24" s="48">
        <v>93</v>
      </c>
      <c r="H24" s="48">
        <v>83</v>
      </c>
      <c r="I24" s="48">
        <v>86.5</v>
      </c>
      <c r="J24" s="48">
        <v>91</v>
      </c>
      <c r="K24" s="48">
        <v>92</v>
      </c>
      <c r="L24" s="48">
        <v>95</v>
      </c>
      <c r="M24" s="48">
        <v>100</v>
      </c>
      <c r="N24" s="48">
        <v>95</v>
      </c>
      <c r="O24" s="48">
        <v>98</v>
      </c>
      <c r="P24" s="58">
        <f t="shared" si="1"/>
        <v>92.590909090909093</v>
      </c>
    </row>
    <row r="25" spans="1:16" s="5" customFormat="1" ht="13.5" customHeight="1" x14ac:dyDescent="0.3">
      <c r="A25" s="14"/>
      <c r="B25" s="17"/>
      <c r="C25" s="2"/>
      <c r="D25" s="4"/>
      <c r="E25" s="30" t="str">
        <f t="shared" ref="E25:O25" si="11">IF(E24&gt;=90,"A",IF(E24&gt;=80,"B",IF(E24&gt;=70,"C",IF(E24&gt;=60,"D","F"))))</f>
        <v>A</v>
      </c>
      <c r="F25" s="30" t="str">
        <f t="shared" si="11"/>
        <v>A</v>
      </c>
      <c r="G25" s="30" t="str">
        <f t="shared" si="11"/>
        <v>A</v>
      </c>
      <c r="H25" s="30" t="str">
        <f t="shared" si="11"/>
        <v>B</v>
      </c>
      <c r="I25" s="30" t="str">
        <f t="shared" si="11"/>
        <v>B</v>
      </c>
      <c r="J25" s="30" t="str">
        <f t="shared" si="11"/>
        <v>A</v>
      </c>
      <c r="K25" s="30" t="str">
        <f t="shared" si="11"/>
        <v>A</v>
      </c>
      <c r="L25" s="30" t="str">
        <f t="shared" si="11"/>
        <v>A</v>
      </c>
      <c r="M25" s="30" t="str">
        <f t="shared" si="11"/>
        <v>A</v>
      </c>
      <c r="N25" s="30" t="str">
        <f t="shared" si="11"/>
        <v>A</v>
      </c>
      <c r="O25" s="30" t="str">
        <f t="shared" si="11"/>
        <v>A</v>
      </c>
      <c r="P25" s="58"/>
    </row>
    <row r="26" spans="1:16" s="5" customFormat="1" ht="13.5" customHeight="1" x14ac:dyDescent="0.25">
      <c r="A26" s="14">
        <v>12</v>
      </c>
      <c r="B26" s="17" t="s">
        <v>306</v>
      </c>
      <c r="C26" s="2" t="s">
        <v>741</v>
      </c>
      <c r="D26" s="4" t="s">
        <v>375</v>
      </c>
      <c r="E26" s="48">
        <v>80.900000000000006</v>
      </c>
      <c r="F26" s="48">
        <v>90</v>
      </c>
      <c r="G26" s="48">
        <v>86</v>
      </c>
      <c r="H26" s="48">
        <v>76.8</v>
      </c>
      <c r="I26" s="48">
        <v>78.5</v>
      </c>
      <c r="J26" s="48">
        <v>84</v>
      </c>
      <c r="K26" s="48">
        <v>91</v>
      </c>
      <c r="L26" s="48">
        <v>85</v>
      </c>
      <c r="M26" s="48">
        <v>91</v>
      </c>
      <c r="N26" s="48">
        <v>96</v>
      </c>
      <c r="O26" s="48">
        <v>96</v>
      </c>
      <c r="P26" s="58">
        <f t="shared" si="1"/>
        <v>86.836363636363643</v>
      </c>
    </row>
    <row r="27" spans="1:16" s="5" customFormat="1" ht="13.5" customHeight="1" x14ac:dyDescent="0.3">
      <c r="A27" s="14"/>
      <c r="B27" s="17"/>
      <c r="C27" s="2"/>
      <c r="D27" s="4"/>
      <c r="E27" s="30" t="str">
        <f t="shared" ref="E27:O27" si="12">IF(E26&gt;=90,"A",IF(E26&gt;=80,"B",IF(E26&gt;=70,"C",IF(E26&gt;=60,"D","F"))))</f>
        <v>B</v>
      </c>
      <c r="F27" s="30" t="str">
        <f t="shared" si="12"/>
        <v>A</v>
      </c>
      <c r="G27" s="30" t="str">
        <f t="shared" si="12"/>
        <v>B</v>
      </c>
      <c r="H27" s="30" t="str">
        <f t="shared" si="12"/>
        <v>C</v>
      </c>
      <c r="I27" s="30" t="str">
        <f t="shared" si="12"/>
        <v>C</v>
      </c>
      <c r="J27" s="30" t="str">
        <f t="shared" si="12"/>
        <v>B</v>
      </c>
      <c r="K27" s="30" t="str">
        <f t="shared" si="12"/>
        <v>A</v>
      </c>
      <c r="L27" s="30" t="str">
        <f t="shared" si="12"/>
        <v>B</v>
      </c>
      <c r="M27" s="30" t="str">
        <f t="shared" si="12"/>
        <v>A</v>
      </c>
      <c r="N27" s="30" t="str">
        <f t="shared" si="12"/>
        <v>A</v>
      </c>
      <c r="O27" s="30" t="str">
        <f t="shared" si="12"/>
        <v>A</v>
      </c>
      <c r="P27" s="58"/>
    </row>
    <row r="28" spans="1:16" s="5" customFormat="1" ht="13.5" customHeight="1" x14ac:dyDescent="0.25">
      <c r="A28" s="14">
        <v>13</v>
      </c>
      <c r="B28" s="17" t="s">
        <v>307</v>
      </c>
      <c r="C28" s="2" t="s">
        <v>743</v>
      </c>
      <c r="D28" s="4" t="s">
        <v>375</v>
      </c>
      <c r="E28" s="48">
        <v>71.8</v>
      </c>
      <c r="F28" s="48">
        <v>97</v>
      </c>
      <c r="G28" s="48">
        <v>82</v>
      </c>
      <c r="H28" s="48">
        <v>80</v>
      </c>
      <c r="I28" s="48">
        <v>87.5</v>
      </c>
      <c r="J28" s="48">
        <v>80</v>
      </c>
      <c r="K28" s="48">
        <v>87</v>
      </c>
      <c r="L28" s="48">
        <v>90</v>
      </c>
      <c r="M28" s="48">
        <v>87</v>
      </c>
      <c r="N28" s="48">
        <v>93</v>
      </c>
      <c r="O28" s="48">
        <v>94</v>
      </c>
      <c r="P28" s="58">
        <f t="shared" si="1"/>
        <v>86.3</v>
      </c>
    </row>
    <row r="29" spans="1:16" s="5" customFormat="1" ht="13.5" customHeight="1" x14ac:dyDescent="0.3">
      <c r="A29" s="14"/>
      <c r="B29" s="17"/>
      <c r="D29" s="4"/>
      <c r="E29" s="30" t="str">
        <f t="shared" ref="E29:O29" si="13">IF(E28&gt;=90,"A",IF(E28&gt;=80,"B",IF(E28&gt;=70,"C",IF(E28&gt;=60,"D","F"))))</f>
        <v>C</v>
      </c>
      <c r="F29" s="30" t="str">
        <f t="shared" si="13"/>
        <v>A</v>
      </c>
      <c r="G29" s="30" t="str">
        <f t="shared" si="13"/>
        <v>B</v>
      </c>
      <c r="H29" s="30" t="str">
        <f t="shared" si="13"/>
        <v>B</v>
      </c>
      <c r="I29" s="30" t="str">
        <f t="shared" si="13"/>
        <v>B</v>
      </c>
      <c r="J29" s="30" t="str">
        <f t="shared" si="13"/>
        <v>B</v>
      </c>
      <c r="K29" s="30" t="str">
        <f t="shared" si="13"/>
        <v>B</v>
      </c>
      <c r="L29" s="30" t="str">
        <f t="shared" si="13"/>
        <v>A</v>
      </c>
      <c r="M29" s="30" t="str">
        <f t="shared" si="13"/>
        <v>B</v>
      </c>
      <c r="N29" s="30" t="str">
        <f t="shared" si="13"/>
        <v>A</v>
      </c>
      <c r="O29" s="30" t="str">
        <f t="shared" si="13"/>
        <v>A</v>
      </c>
      <c r="P29" s="58"/>
    </row>
    <row r="30" spans="1:16" s="5" customFormat="1" ht="13.5" customHeight="1" x14ac:dyDescent="0.25">
      <c r="A30" s="14">
        <v>14</v>
      </c>
      <c r="B30" s="17" t="s">
        <v>308</v>
      </c>
      <c r="C30" s="2" t="s">
        <v>742</v>
      </c>
      <c r="D30" s="4" t="s">
        <v>376</v>
      </c>
      <c r="E30" s="48">
        <v>84</v>
      </c>
      <c r="F30" s="48">
        <v>96</v>
      </c>
      <c r="G30" s="48">
        <v>75</v>
      </c>
      <c r="H30" s="48">
        <v>80.5</v>
      </c>
      <c r="I30" s="48">
        <v>75.5</v>
      </c>
      <c r="J30" s="48">
        <v>84</v>
      </c>
      <c r="K30" s="48">
        <v>85</v>
      </c>
      <c r="L30" s="48">
        <v>80</v>
      </c>
      <c r="M30" s="48">
        <v>92</v>
      </c>
      <c r="N30" s="48">
        <v>94</v>
      </c>
      <c r="O30" s="48">
        <v>96</v>
      </c>
      <c r="P30" s="58">
        <f t="shared" si="1"/>
        <v>85.63636363636364</v>
      </c>
    </row>
    <row r="31" spans="1:16" s="5" customFormat="1" ht="13.5" customHeight="1" x14ac:dyDescent="0.3">
      <c r="A31" s="14"/>
      <c r="B31" s="17"/>
      <c r="C31" s="2"/>
      <c r="D31" s="4"/>
      <c r="E31" s="30" t="str">
        <f t="shared" ref="E31:O31" si="14">IF(E30&gt;=90,"A",IF(E30&gt;=80,"B",IF(E30&gt;=70,"C",IF(E30&gt;=60,"D","F"))))</f>
        <v>B</v>
      </c>
      <c r="F31" s="30" t="str">
        <f t="shared" si="14"/>
        <v>A</v>
      </c>
      <c r="G31" s="30" t="str">
        <f t="shared" si="14"/>
        <v>C</v>
      </c>
      <c r="H31" s="30" t="str">
        <f t="shared" si="14"/>
        <v>B</v>
      </c>
      <c r="I31" s="30" t="str">
        <f t="shared" si="14"/>
        <v>C</v>
      </c>
      <c r="J31" s="30" t="str">
        <f t="shared" si="14"/>
        <v>B</v>
      </c>
      <c r="K31" s="30" t="str">
        <f t="shared" si="14"/>
        <v>B</v>
      </c>
      <c r="L31" s="30" t="str">
        <f t="shared" si="14"/>
        <v>B</v>
      </c>
      <c r="M31" s="30" t="str">
        <f t="shared" si="14"/>
        <v>A</v>
      </c>
      <c r="N31" s="30" t="str">
        <f t="shared" si="14"/>
        <v>A</v>
      </c>
      <c r="O31" s="30" t="str">
        <f t="shared" si="14"/>
        <v>A</v>
      </c>
      <c r="P31" s="58"/>
    </row>
    <row r="32" spans="1:16" s="5" customFormat="1" ht="13.5" customHeight="1" x14ac:dyDescent="0.25">
      <c r="A32" s="14">
        <v>15</v>
      </c>
      <c r="B32" s="17" t="s">
        <v>37</v>
      </c>
      <c r="C32" s="2" t="s">
        <v>744</v>
      </c>
      <c r="D32" s="4" t="s">
        <v>376</v>
      </c>
      <c r="E32" s="48">
        <v>80.599999999999994</v>
      </c>
      <c r="F32" s="48">
        <v>94</v>
      </c>
      <c r="G32" s="48">
        <v>88</v>
      </c>
      <c r="H32" s="48">
        <v>86</v>
      </c>
      <c r="I32" s="48">
        <v>87</v>
      </c>
      <c r="J32" s="48">
        <v>86</v>
      </c>
      <c r="K32" s="48">
        <v>90</v>
      </c>
      <c r="L32" s="48">
        <v>83</v>
      </c>
      <c r="M32" s="48">
        <v>99</v>
      </c>
      <c r="N32" s="48">
        <v>95</v>
      </c>
      <c r="O32" s="48">
        <v>100</v>
      </c>
      <c r="P32" s="58">
        <f t="shared" si="1"/>
        <v>89.872727272727275</v>
      </c>
    </row>
    <row r="33" spans="1:16" s="5" customFormat="1" ht="13.5" customHeight="1" x14ac:dyDescent="0.3">
      <c r="A33" s="14"/>
      <c r="B33" s="17"/>
      <c r="C33" s="2"/>
      <c r="D33" s="4"/>
      <c r="E33" s="30" t="str">
        <f t="shared" ref="E33:O33" si="15">IF(E32&gt;=90,"A",IF(E32&gt;=80,"B",IF(E32&gt;=70,"C",IF(E32&gt;=60,"D","F"))))</f>
        <v>B</v>
      </c>
      <c r="F33" s="30" t="str">
        <f t="shared" si="15"/>
        <v>A</v>
      </c>
      <c r="G33" s="30" t="str">
        <f t="shared" si="15"/>
        <v>B</v>
      </c>
      <c r="H33" s="30" t="str">
        <f t="shared" si="15"/>
        <v>B</v>
      </c>
      <c r="I33" s="30" t="str">
        <f t="shared" si="15"/>
        <v>B</v>
      </c>
      <c r="J33" s="30" t="str">
        <f t="shared" si="15"/>
        <v>B</v>
      </c>
      <c r="K33" s="30" t="str">
        <f t="shared" si="15"/>
        <v>A</v>
      </c>
      <c r="L33" s="30" t="str">
        <f t="shared" si="15"/>
        <v>B</v>
      </c>
      <c r="M33" s="30" t="str">
        <f t="shared" si="15"/>
        <v>A</v>
      </c>
      <c r="N33" s="30" t="str">
        <f t="shared" si="15"/>
        <v>A</v>
      </c>
      <c r="O33" s="30" t="str">
        <f t="shared" si="15"/>
        <v>A</v>
      </c>
      <c r="P33" s="58"/>
    </row>
    <row r="34" spans="1:16" s="5" customFormat="1" ht="13.5" customHeight="1" x14ac:dyDescent="0.25">
      <c r="A34" s="14">
        <v>16</v>
      </c>
      <c r="B34" s="17" t="s">
        <v>309</v>
      </c>
      <c r="C34" s="2" t="s">
        <v>745</v>
      </c>
      <c r="D34" s="4" t="s">
        <v>376</v>
      </c>
      <c r="E34" s="48">
        <v>78.7</v>
      </c>
      <c r="F34" s="48">
        <v>93</v>
      </c>
      <c r="G34" s="48">
        <v>76</v>
      </c>
      <c r="H34" s="48">
        <v>81</v>
      </c>
      <c r="I34" s="48">
        <v>70.5</v>
      </c>
      <c r="J34" s="48">
        <v>80</v>
      </c>
      <c r="K34" s="48">
        <v>75</v>
      </c>
      <c r="L34" s="48">
        <v>70</v>
      </c>
      <c r="M34" s="48">
        <v>86</v>
      </c>
      <c r="N34" s="48">
        <v>80</v>
      </c>
      <c r="O34" s="48">
        <v>91.5</v>
      </c>
      <c r="P34" s="58">
        <f t="shared" si="1"/>
        <v>80.154545454545456</v>
      </c>
    </row>
    <row r="35" spans="1:16" s="5" customFormat="1" ht="13.5" customHeight="1" x14ac:dyDescent="0.3">
      <c r="A35" s="14"/>
      <c r="B35" s="17"/>
      <c r="C35" s="2"/>
      <c r="D35" s="4"/>
      <c r="E35" s="30" t="str">
        <f t="shared" ref="E35:O35" si="16">IF(E34&gt;=90,"A",IF(E34&gt;=80,"B",IF(E34&gt;=70,"C",IF(E34&gt;=60,"D","F"))))</f>
        <v>C</v>
      </c>
      <c r="F35" s="30" t="str">
        <f t="shared" si="16"/>
        <v>A</v>
      </c>
      <c r="G35" s="30" t="str">
        <f t="shared" si="16"/>
        <v>C</v>
      </c>
      <c r="H35" s="30" t="str">
        <f t="shared" si="16"/>
        <v>B</v>
      </c>
      <c r="I35" s="30" t="str">
        <f t="shared" si="16"/>
        <v>C</v>
      </c>
      <c r="J35" s="30" t="str">
        <f t="shared" si="16"/>
        <v>B</v>
      </c>
      <c r="K35" s="30" t="str">
        <f t="shared" si="16"/>
        <v>C</v>
      </c>
      <c r="L35" s="30" t="str">
        <f t="shared" si="16"/>
        <v>C</v>
      </c>
      <c r="M35" s="30" t="str">
        <f t="shared" si="16"/>
        <v>B</v>
      </c>
      <c r="N35" s="30" t="str">
        <f t="shared" si="16"/>
        <v>B</v>
      </c>
      <c r="O35" s="30" t="str">
        <f t="shared" si="16"/>
        <v>A</v>
      </c>
      <c r="P35" s="58"/>
    </row>
    <row r="36" spans="1:16" x14ac:dyDescent="0.25">
      <c r="A36" s="14">
        <v>17</v>
      </c>
      <c r="B36" s="17" t="s">
        <v>38</v>
      </c>
      <c r="C36" s="2" t="s">
        <v>746</v>
      </c>
      <c r="D36" s="4" t="s">
        <v>375</v>
      </c>
      <c r="E36" s="29">
        <v>72</v>
      </c>
      <c r="F36" s="29">
        <v>78</v>
      </c>
      <c r="G36" s="29">
        <v>75</v>
      </c>
      <c r="H36" s="29">
        <v>69</v>
      </c>
      <c r="I36" s="29">
        <v>62</v>
      </c>
      <c r="J36" s="48">
        <v>58</v>
      </c>
      <c r="K36" s="48">
        <v>73</v>
      </c>
      <c r="L36" s="48">
        <v>70</v>
      </c>
      <c r="M36" s="48">
        <v>75</v>
      </c>
      <c r="N36" s="48">
        <v>80</v>
      </c>
      <c r="O36" s="48">
        <v>89</v>
      </c>
      <c r="P36" s="58">
        <f t="shared" si="1"/>
        <v>72.818181818181813</v>
      </c>
    </row>
    <row r="37" spans="1:16" ht="15.75" x14ac:dyDescent="0.3">
      <c r="A37" s="14"/>
      <c r="B37" s="17"/>
      <c r="C37" s="2"/>
      <c r="D37" s="4"/>
      <c r="E37" s="30" t="str">
        <f t="shared" ref="E37:O37" si="17">IF(E36&gt;=90,"A",IF(E36&gt;=80,"B",IF(E36&gt;=70,"C",IF(E36&gt;=60,"D","F"))))</f>
        <v>C</v>
      </c>
      <c r="F37" s="30" t="str">
        <f t="shared" si="17"/>
        <v>C</v>
      </c>
      <c r="G37" s="30" t="str">
        <f t="shared" si="17"/>
        <v>C</v>
      </c>
      <c r="H37" s="30" t="str">
        <f t="shared" si="17"/>
        <v>D</v>
      </c>
      <c r="I37" s="30" t="str">
        <f t="shared" si="17"/>
        <v>D</v>
      </c>
      <c r="J37" s="30" t="str">
        <f t="shared" si="17"/>
        <v>F</v>
      </c>
      <c r="K37" s="30" t="str">
        <f t="shared" si="17"/>
        <v>C</v>
      </c>
      <c r="L37" s="30" t="str">
        <f t="shared" si="17"/>
        <v>C</v>
      </c>
      <c r="M37" s="30" t="str">
        <f t="shared" si="17"/>
        <v>C</v>
      </c>
      <c r="N37" s="30" t="str">
        <f t="shared" si="17"/>
        <v>B</v>
      </c>
      <c r="O37" s="30" t="str">
        <f t="shared" si="17"/>
        <v>B</v>
      </c>
      <c r="P37" s="58"/>
    </row>
    <row r="38" spans="1:16" x14ac:dyDescent="0.25">
      <c r="A38" s="14">
        <v>18</v>
      </c>
      <c r="B38" s="17" t="s">
        <v>39</v>
      </c>
      <c r="C38" s="2" t="s">
        <v>747</v>
      </c>
      <c r="D38" s="4" t="s">
        <v>376</v>
      </c>
      <c r="E38" s="29">
        <v>68.5</v>
      </c>
      <c r="F38" s="29">
        <v>95</v>
      </c>
      <c r="G38" s="29">
        <v>73</v>
      </c>
      <c r="H38" s="29">
        <v>66</v>
      </c>
      <c r="I38" s="29">
        <v>71</v>
      </c>
      <c r="J38" s="29">
        <v>72</v>
      </c>
      <c r="K38" s="48">
        <v>80</v>
      </c>
      <c r="L38" s="48">
        <v>83</v>
      </c>
      <c r="M38" s="48">
        <v>90</v>
      </c>
      <c r="N38" s="48">
        <v>96</v>
      </c>
      <c r="O38" s="48">
        <v>98</v>
      </c>
      <c r="P38" s="58">
        <f t="shared" si="1"/>
        <v>81.13636363636364</v>
      </c>
    </row>
    <row r="39" spans="1:16" ht="15.75" x14ac:dyDescent="0.3">
      <c r="A39" s="14"/>
      <c r="B39" s="17"/>
      <c r="C39" s="2"/>
      <c r="D39" s="4"/>
      <c r="E39" s="30" t="str">
        <f t="shared" ref="E39:O39" si="18">IF(E38&gt;=90,"A",IF(E38&gt;=80,"B",IF(E38&gt;=70,"C",IF(E38&gt;=60,"D","F"))))</f>
        <v>D</v>
      </c>
      <c r="F39" s="30" t="str">
        <f t="shared" si="18"/>
        <v>A</v>
      </c>
      <c r="G39" s="30" t="str">
        <f t="shared" si="18"/>
        <v>C</v>
      </c>
      <c r="H39" s="30" t="str">
        <f t="shared" si="18"/>
        <v>D</v>
      </c>
      <c r="I39" s="30" t="str">
        <f t="shared" si="18"/>
        <v>C</v>
      </c>
      <c r="J39" s="30" t="str">
        <f t="shared" si="18"/>
        <v>C</v>
      </c>
      <c r="K39" s="30" t="str">
        <f t="shared" si="18"/>
        <v>B</v>
      </c>
      <c r="L39" s="30" t="str">
        <f t="shared" si="18"/>
        <v>B</v>
      </c>
      <c r="M39" s="30" t="str">
        <f t="shared" si="18"/>
        <v>A</v>
      </c>
      <c r="N39" s="30" t="str">
        <f t="shared" si="18"/>
        <v>A</v>
      </c>
      <c r="O39" s="30" t="str">
        <f t="shared" si="18"/>
        <v>A</v>
      </c>
      <c r="P39" s="58"/>
    </row>
    <row r="40" spans="1:16" x14ac:dyDescent="0.25">
      <c r="A40" s="14">
        <v>19</v>
      </c>
      <c r="B40" s="17" t="s">
        <v>310</v>
      </c>
      <c r="C40" s="2" t="s">
        <v>748</v>
      </c>
      <c r="D40" s="4" t="s">
        <v>376</v>
      </c>
      <c r="E40" s="29">
        <v>84.8</v>
      </c>
      <c r="F40" s="29">
        <v>82</v>
      </c>
      <c r="G40" s="29">
        <v>77</v>
      </c>
      <c r="H40" s="29">
        <v>76</v>
      </c>
      <c r="I40" s="29">
        <v>75</v>
      </c>
      <c r="J40" s="29">
        <v>73</v>
      </c>
      <c r="K40" s="48">
        <v>84</v>
      </c>
      <c r="L40" s="48">
        <v>63</v>
      </c>
      <c r="M40" s="48">
        <v>92</v>
      </c>
      <c r="N40" s="48">
        <v>92</v>
      </c>
      <c r="O40" s="48">
        <v>92.5</v>
      </c>
      <c r="P40" s="58">
        <f t="shared" si="1"/>
        <v>81.027272727272717</v>
      </c>
    </row>
    <row r="41" spans="1:16" ht="15.75" x14ac:dyDescent="0.3">
      <c r="A41" s="14"/>
      <c r="B41" s="17"/>
      <c r="C41" s="2"/>
      <c r="D41" s="4"/>
      <c r="E41" s="30" t="str">
        <f t="shared" ref="E41:O41" si="19">IF(E40&gt;=90,"A",IF(E40&gt;=80,"B",IF(E40&gt;=70,"C",IF(E40&gt;=60,"D","F"))))</f>
        <v>B</v>
      </c>
      <c r="F41" s="30" t="str">
        <f t="shared" si="19"/>
        <v>B</v>
      </c>
      <c r="G41" s="30" t="str">
        <f t="shared" si="19"/>
        <v>C</v>
      </c>
      <c r="H41" s="30" t="str">
        <f t="shared" si="19"/>
        <v>C</v>
      </c>
      <c r="I41" s="30" t="str">
        <f t="shared" si="19"/>
        <v>C</v>
      </c>
      <c r="J41" s="30" t="str">
        <f t="shared" si="19"/>
        <v>C</v>
      </c>
      <c r="K41" s="30" t="str">
        <f t="shared" si="19"/>
        <v>B</v>
      </c>
      <c r="L41" s="30" t="str">
        <f t="shared" si="19"/>
        <v>D</v>
      </c>
      <c r="M41" s="30" t="str">
        <f t="shared" si="19"/>
        <v>A</v>
      </c>
      <c r="N41" s="30" t="str">
        <f t="shared" si="19"/>
        <v>A</v>
      </c>
      <c r="O41" s="30" t="str">
        <f t="shared" si="19"/>
        <v>A</v>
      </c>
      <c r="P41" s="58"/>
    </row>
    <row r="42" spans="1:16" x14ac:dyDescent="0.25">
      <c r="A42" s="14">
        <v>20</v>
      </c>
      <c r="B42" s="17" t="s">
        <v>40</v>
      </c>
      <c r="C42" s="2" t="s">
        <v>749</v>
      </c>
      <c r="D42" s="4" t="s">
        <v>375</v>
      </c>
      <c r="E42" s="29">
        <v>78.8</v>
      </c>
      <c r="F42" s="29">
        <v>94</v>
      </c>
      <c r="G42" s="29">
        <v>91</v>
      </c>
      <c r="H42" s="29">
        <v>90</v>
      </c>
      <c r="I42" s="29">
        <v>84</v>
      </c>
      <c r="J42" s="29">
        <v>76</v>
      </c>
      <c r="K42" s="48">
        <v>85</v>
      </c>
      <c r="L42" s="48">
        <v>90</v>
      </c>
      <c r="M42" s="48">
        <v>95</v>
      </c>
      <c r="N42" s="48">
        <v>94</v>
      </c>
      <c r="O42" s="48">
        <v>94</v>
      </c>
      <c r="P42" s="58">
        <f t="shared" si="1"/>
        <v>88.345454545454544</v>
      </c>
    </row>
    <row r="43" spans="1:16" ht="15.75" x14ac:dyDescent="0.3">
      <c r="A43" s="14"/>
      <c r="B43" s="17"/>
      <c r="C43" s="2"/>
      <c r="D43" s="4"/>
      <c r="E43" s="30" t="str">
        <f t="shared" ref="E43:O43" si="20">IF(E42&gt;=90,"A",IF(E42&gt;=80,"B",IF(E42&gt;=70,"C",IF(E42&gt;=60,"D","F"))))</f>
        <v>C</v>
      </c>
      <c r="F43" s="30" t="str">
        <f t="shared" si="20"/>
        <v>A</v>
      </c>
      <c r="G43" s="30" t="str">
        <f t="shared" si="20"/>
        <v>A</v>
      </c>
      <c r="H43" s="30" t="str">
        <f t="shared" si="20"/>
        <v>A</v>
      </c>
      <c r="I43" s="30" t="str">
        <f t="shared" si="20"/>
        <v>B</v>
      </c>
      <c r="J43" s="30" t="str">
        <f t="shared" si="20"/>
        <v>C</v>
      </c>
      <c r="K43" s="30" t="str">
        <f t="shared" si="20"/>
        <v>B</v>
      </c>
      <c r="L43" s="30" t="str">
        <f t="shared" si="20"/>
        <v>A</v>
      </c>
      <c r="M43" s="30" t="str">
        <f t="shared" si="20"/>
        <v>A</v>
      </c>
      <c r="N43" s="30" t="str">
        <f t="shared" si="20"/>
        <v>A</v>
      </c>
      <c r="O43" s="30" t="str">
        <f t="shared" si="20"/>
        <v>A</v>
      </c>
      <c r="P43" s="58"/>
    </row>
    <row r="44" spans="1:16" x14ac:dyDescent="0.25">
      <c r="A44" s="14">
        <v>21</v>
      </c>
      <c r="B44" s="17" t="s">
        <v>311</v>
      </c>
      <c r="C44" s="2" t="s">
        <v>750</v>
      </c>
      <c r="D44" s="4" t="s">
        <v>375</v>
      </c>
      <c r="E44" s="29">
        <v>69</v>
      </c>
      <c r="F44" s="29">
        <v>79</v>
      </c>
      <c r="G44" s="29">
        <v>70</v>
      </c>
      <c r="H44" s="29">
        <v>58.8</v>
      </c>
      <c r="I44" s="29">
        <v>65.5</v>
      </c>
      <c r="J44" s="29">
        <v>58</v>
      </c>
      <c r="K44" s="48">
        <v>75</v>
      </c>
      <c r="L44" s="48">
        <v>70</v>
      </c>
      <c r="M44" s="48">
        <v>88</v>
      </c>
      <c r="N44" s="48">
        <v>82</v>
      </c>
      <c r="O44" s="48">
        <v>91</v>
      </c>
      <c r="P44" s="58">
        <f t="shared" si="1"/>
        <v>73.3</v>
      </c>
    </row>
    <row r="45" spans="1:16" ht="15.75" x14ac:dyDescent="0.3">
      <c r="A45" s="25"/>
      <c r="B45" s="20"/>
      <c r="C45" s="20"/>
      <c r="D45" s="6"/>
      <c r="E45" s="30" t="str">
        <f t="shared" ref="E45:O45" si="21">IF(E44&gt;=90,"A",IF(E44&gt;=80,"B",IF(E44&gt;=70,"C",IF(E44&gt;=60,"D","F"))))</f>
        <v>D</v>
      </c>
      <c r="F45" s="30" t="str">
        <f t="shared" si="21"/>
        <v>C</v>
      </c>
      <c r="G45" s="30" t="str">
        <f t="shared" si="21"/>
        <v>C</v>
      </c>
      <c r="H45" s="30" t="str">
        <f t="shared" si="21"/>
        <v>F</v>
      </c>
      <c r="I45" s="30" t="str">
        <f t="shared" si="21"/>
        <v>D</v>
      </c>
      <c r="J45" s="30" t="str">
        <f t="shared" si="21"/>
        <v>F</v>
      </c>
      <c r="K45" s="30" t="str">
        <f t="shared" si="21"/>
        <v>C</v>
      </c>
      <c r="L45" s="30" t="str">
        <f t="shared" si="21"/>
        <v>C</v>
      </c>
      <c r="M45" s="30" t="str">
        <f t="shared" si="21"/>
        <v>B</v>
      </c>
      <c r="N45" s="30" t="str">
        <f t="shared" si="21"/>
        <v>B</v>
      </c>
      <c r="O45" s="30" t="str">
        <f t="shared" si="21"/>
        <v>A</v>
      </c>
      <c r="P45" s="3"/>
    </row>
  </sheetData>
  <sheetProtection formatCells="0" formatColumns="0" formatRows="0" insertColumns="0" insertRows="0" insertHyperlinks="0" deleteColumns="0" deleteRows="0" sort="0" autoFilter="0" pivotTables="0"/>
  <autoFilter ref="A1:D34" xr:uid="{00000000-0009-0000-0000-00001C000000}">
    <filterColumn colId="0" showButton="0"/>
  </autoFilter>
  <mergeCells count="1">
    <mergeCell ref="A1:B2"/>
  </mergeCells>
  <pageMargins left="0.23" right="0.17" top="0.36" bottom="0" header="0.17" footer="0.3"/>
  <pageSetup paperSize="9" orientation="landscape" r:id="rId1"/>
  <headerFooter>
    <oddFooter xml:space="preserve">&amp;C
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49"/>
  <sheetViews>
    <sheetView zoomScaleNormal="100" workbookViewId="0">
      <selection activeCell="P39" sqref="P39"/>
    </sheetView>
  </sheetViews>
  <sheetFormatPr defaultRowHeight="15" x14ac:dyDescent="0.25"/>
  <cols>
    <col min="1" max="1" width="6" style="13" customWidth="1"/>
    <col min="2" max="2" width="20" style="28" customWidth="1"/>
    <col min="3" max="3" width="11.140625" style="28" bestFit="1" customWidth="1"/>
    <col min="4" max="4" width="4.42578125" style="7" customWidth="1"/>
    <col min="5" max="5" width="9" style="46" customWidth="1"/>
    <col min="6" max="6" width="9.28515625" style="46" customWidth="1"/>
    <col min="7" max="7" width="12.5703125" style="46" bestFit="1" customWidth="1"/>
    <col min="8" max="8" width="8.5703125" style="46" customWidth="1"/>
    <col min="9" max="9" width="8" style="46" customWidth="1"/>
    <col min="10" max="10" width="10.140625" style="46" customWidth="1"/>
    <col min="11" max="11" width="8.140625" style="46" customWidth="1"/>
    <col min="12" max="12" width="10.5703125" style="46" customWidth="1"/>
    <col min="13" max="13" width="7.42578125" style="46" customWidth="1"/>
    <col min="14" max="14" width="15.28515625" style="46" customWidth="1"/>
    <col min="15" max="15" width="7.5703125" style="46" customWidth="1"/>
    <col min="16" max="16" width="8.140625" style="2" customWidth="1"/>
    <col min="17" max="17" width="8.5703125" style="2" customWidth="1"/>
    <col min="18" max="16384" width="9.140625" style="2"/>
  </cols>
  <sheetData>
    <row r="1" spans="1:17" ht="6" customHeight="1" x14ac:dyDescent="0.25">
      <c r="A1" s="85" t="s">
        <v>775</v>
      </c>
      <c r="B1" s="86"/>
      <c r="C1" s="80"/>
    </row>
    <row r="2" spans="1:17" ht="10.5" customHeight="1" x14ac:dyDescent="0.25">
      <c r="A2" s="87"/>
      <c r="B2" s="88"/>
      <c r="C2" s="80"/>
    </row>
    <row r="3" spans="1:17" s="75" customFormat="1" ht="25.5" customHeight="1" x14ac:dyDescent="0.25">
      <c r="A3" s="68" t="s">
        <v>0</v>
      </c>
      <c r="B3" s="69" t="s">
        <v>1</v>
      </c>
      <c r="C3" s="69"/>
      <c r="D3" s="70" t="s">
        <v>2</v>
      </c>
      <c r="E3" s="71" t="s">
        <v>426</v>
      </c>
      <c r="F3" s="71" t="s">
        <v>427</v>
      </c>
      <c r="G3" s="71" t="s">
        <v>456</v>
      </c>
      <c r="H3" s="71" t="s">
        <v>439</v>
      </c>
      <c r="I3" s="71" t="s">
        <v>440</v>
      </c>
      <c r="J3" s="71" t="s">
        <v>441</v>
      </c>
      <c r="K3" s="71" t="s">
        <v>443</v>
      </c>
      <c r="L3" s="71" t="s">
        <v>444</v>
      </c>
      <c r="M3" s="71" t="s">
        <v>437</v>
      </c>
      <c r="N3" s="71" t="s">
        <v>442</v>
      </c>
      <c r="O3" s="71" t="s">
        <v>445</v>
      </c>
      <c r="P3" s="71" t="s">
        <v>438</v>
      </c>
      <c r="Q3" s="71" t="s">
        <v>428</v>
      </c>
    </row>
    <row r="4" spans="1:17" s="5" customFormat="1" ht="13.5" customHeight="1" x14ac:dyDescent="0.25">
      <c r="A4" s="14">
        <v>1</v>
      </c>
      <c r="B4" s="17" t="s">
        <v>384</v>
      </c>
      <c r="C4" s="2" t="s">
        <v>752</v>
      </c>
      <c r="D4" s="4" t="s">
        <v>376</v>
      </c>
      <c r="E4" s="48">
        <v>92</v>
      </c>
      <c r="F4" s="48">
        <v>92</v>
      </c>
      <c r="G4" s="48">
        <v>100</v>
      </c>
      <c r="H4" s="48">
        <v>98</v>
      </c>
      <c r="I4" s="48">
        <v>100</v>
      </c>
      <c r="J4" s="48">
        <v>100</v>
      </c>
      <c r="K4" s="48">
        <v>99</v>
      </c>
      <c r="L4" s="48">
        <v>98</v>
      </c>
      <c r="M4" s="48">
        <v>100</v>
      </c>
      <c r="N4" s="48">
        <v>100</v>
      </c>
      <c r="O4" s="48">
        <v>100</v>
      </c>
      <c r="P4" s="48">
        <v>98</v>
      </c>
      <c r="Q4" s="58">
        <f>AVERAGE(E4:P4)</f>
        <v>98.083333333333329</v>
      </c>
    </row>
    <row r="5" spans="1:17" s="5" customFormat="1" ht="13.5" customHeight="1" x14ac:dyDescent="0.3">
      <c r="A5" s="14"/>
      <c r="B5" s="17"/>
      <c r="C5" s="2"/>
      <c r="D5" s="4"/>
      <c r="E5" s="30" t="str">
        <f t="shared" ref="E5:P5" si="0">IF(E4&gt;=90,"A",IF(E4&gt;=80,"B",IF(E4&gt;=70,"C",IF(E4&gt;=60,"D","F"))))</f>
        <v>A</v>
      </c>
      <c r="F5" s="30" t="str">
        <f t="shared" si="0"/>
        <v>A</v>
      </c>
      <c r="G5" s="30" t="str">
        <f t="shared" si="0"/>
        <v>A</v>
      </c>
      <c r="H5" s="30" t="str">
        <f t="shared" si="0"/>
        <v>A</v>
      </c>
      <c r="I5" s="30" t="str">
        <f t="shared" si="0"/>
        <v>A</v>
      </c>
      <c r="J5" s="30" t="str">
        <f t="shared" si="0"/>
        <v>A</v>
      </c>
      <c r="K5" s="30" t="str">
        <f t="shared" si="0"/>
        <v>A</v>
      </c>
      <c r="L5" s="30" t="str">
        <f t="shared" si="0"/>
        <v>A</v>
      </c>
      <c r="M5" s="30" t="str">
        <f t="shared" si="0"/>
        <v>A</v>
      </c>
      <c r="N5" s="30" t="str">
        <f t="shared" si="0"/>
        <v>A</v>
      </c>
      <c r="O5" s="30" t="str">
        <f t="shared" si="0"/>
        <v>A</v>
      </c>
      <c r="P5" s="30" t="str">
        <f t="shared" si="0"/>
        <v>A</v>
      </c>
      <c r="Q5" s="58"/>
    </row>
    <row r="6" spans="1:17" s="5" customFormat="1" ht="13.5" customHeight="1" x14ac:dyDescent="0.25">
      <c r="A6" s="14">
        <v>2</v>
      </c>
      <c r="B6" s="17" t="s">
        <v>312</v>
      </c>
      <c r="C6" s="2" t="s">
        <v>753</v>
      </c>
      <c r="D6" s="4" t="s">
        <v>376</v>
      </c>
      <c r="E6" s="48">
        <v>68</v>
      </c>
      <c r="F6" s="48">
        <v>53</v>
      </c>
      <c r="G6" s="48">
        <v>70</v>
      </c>
      <c r="H6" s="48">
        <v>69</v>
      </c>
      <c r="I6" s="48">
        <v>67</v>
      </c>
      <c r="J6" s="48">
        <v>78</v>
      </c>
      <c r="K6" s="48">
        <v>65</v>
      </c>
      <c r="L6" s="62">
        <v>0</v>
      </c>
      <c r="M6" s="48">
        <v>78</v>
      </c>
      <c r="N6" s="48">
        <v>97</v>
      </c>
      <c r="O6" s="48">
        <v>89</v>
      </c>
      <c r="P6" s="48">
        <v>97</v>
      </c>
      <c r="Q6" s="58">
        <f>AVERAGE(E6:K6,M6:P6)</f>
        <v>75.545454545454547</v>
      </c>
    </row>
    <row r="7" spans="1:17" s="5" customFormat="1" ht="13.5" customHeight="1" x14ac:dyDescent="0.3">
      <c r="A7" s="14"/>
      <c r="B7" s="17"/>
      <c r="C7" s="2"/>
      <c r="D7" s="4"/>
      <c r="E7" s="30" t="str">
        <f t="shared" ref="E7:K7" si="1">IF(E6&gt;=90,"A",IF(E6&gt;=80,"B",IF(E6&gt;=70,"C",IF(E6&gt;=60,"D","F"))))</f>
        <v>D</v>
      </c>
      <c r="F7" s="30" t="str">
        <f t="shared" si="1"/>
        <v>F</v>
      </c>
      <c r="G7" s="30" t="str">
        <f t="shared" si="1"/>
        <v>C</v>
      </c>
      <c r="H7" s="30" t="str">
        <f t="shared" si="1"/>
        <v>D</v>
      </c>
      <c r="I7" s="30" t="str">
        <f t="shared" si="1"/>
        <v>D</v>
      </c>
      <c r="J7" s="30" t="str">
        <f t="shared" si="1"/>
        <v>C</v>
      </c>
      <c r="K7" s="30" t="str">
        <f t="shared" si="1"/>
        <v>D</v>
      </c>
      <c r="L7" s="61"/>
      <c r="M7" s="30" t="str">
        <f>IF(M6&gt;=90,"A",IF(M6&gt;=80,"B",IF(M6&gt;=70,"C",IF(M6&gt;=60,"D","F"))))</f>
        <v>C</v>
      </c>
      <c r="N7" s="30" t="str">
        <f>IF(N6&gt;=90,"A",IF(N6&gt;=80,"B",IF(N6&gt;=70,"C",IF(N6&gt;=60,"D","F"))))</f>
        <v>A</v>
      </c>
      <c r="O7" s="30" t="str">
        <f>IF(O6&gt;=90,"A",IF(O6&gt;=80,"B",IF(O6&gt;=70,"C",IF(O6&gt;=60,"D","F"))))</f>
        <v>B</v>
      </c>
      <c r="P7" s="30" t="str">
        <f>IF(P6&gt;=90,"A",IF(P6&gt;=80,"B",IF(P6&gt;=70,"C",IF(P6&gt;=60,"D","F"))))</f>
        <v>A</v>
      </c>
      <c r="Q7" s="58"/>
    </row>
    <row r="8" spans="1:17" s="5" customFormat="1" ht="13.5" customHeight="1" x14ac:dyDescent="0.25">
      <c r="A8" s="14">
        <v>3</v>
      </c>
      <c r="B8" s="17" t="s">
        <v>386</v>
      </c>
      <c r="C8" s="2" t="s">
        <v>754</v>
      </c>
      <c r="D8" s="4" t="s">
        <v>376</v>
      </c>
      <c r="E8" s="48">
        <v>93</v>
      </c>
      <c r="F8" s="48">
        <v>97</v>
      </c>
      <c r="G8" s="48">
        <v>100</v>
      </c>
      <c r="H8" s="48">
        <v>97</v>
      </c>
      <c r="I8" s="48">
        <v>96</v>
      </c>
      <c r="J8" s="48">
        <v>100</v>
      </c>
      <c r="K8" s="48">
        <v>100</v>
      </c>
      <c r="L8" s="48">
        <v>90</v>
      </c>
      <c r="M8" s="48">
        <v>100</v>
      </c>
      <c r="N8" s="48">
        <v>98</v>
      </c>
      <c r="O8" s="48">
        <v>98</v>
      </c>
      <c r="P8" s="48">
        <v>97</v>
      </c>
      <c r="Q8" s="58">
        <f t="shared" ref="Q8:Q48" si="2">AVERAGE(E8:P8)</f>
        <v>97.166666666666671</v>
      </c>
    </row>
    <row r="9" spans="1:17" s="5" customFormat="1" ht="13.5" customHeight="1" x14ac:dyDescent="0.3">
      <c r="A9" s="14"/>
      <c r="B9" s="17"/>
      <c r="C9" s="2"/>
      <c r="D9" s="4"/>
      <c r="E9" s="30" t="str">
        <f t="shared" ref="E9:P9" si="3">IF(E8&gt;=90,"A",IF(E8&gt;=80,"B",IF(E8&gt;=70,"C",IF(E8&gt;=60,"D","F"))))</f>
        <v>A</v>
      </c>
      <c r="F9" s="30" t="str">
        <f t="shared" si="3"/>
        <v>A</v>
      </c>
      <c r="G9" s="30" t="str">
        <f t="shared" si="3"/>
        <v>A</v>
      </c>
      <c r="H9" s="30" t="str">
        <f t="shared" si="3"/>
        <v>A</v>
      </c>
      <c r="I9" s="30" t="str">
        <f t="shared" si="3"/>
        <v>A</v>
      </c>
      <c r="J9" s="30" t="str">
        <f t="shared" si="3"/>
        <v>A</v>
      </c>
      <c r="K9" s="30" t="str">
        <f t="shared" si="3"/>
        <v>A</v>
      </c>
      <c r="L9" s="30" t="str">
        <f t="shared" si="3"/>
        <v>A</v>
      </c>
      <c r="M9" s="30" t="str">
        <f t="shared" si="3"/>
        <v>A</v>
      </c>
      <c r="N9" s="30" t="str">
        <f t="shared" si="3"/>
        <v>A</v>
      </c>
      <c r="O9" s="30" t="str">
        <f t="shared" si="3"/>
        <v>A</v>
      </c>
      <c r="P9" s="30" t="str">
        <f t="shared" si="3"/>
        <v>A</v>
      </c>
      <c r="Q9" s="58"/>
    </row>
    <row r="10" spans="1:17" s="5" customFormat="1" ht="13.5" customHeight="1" x14ac:dyDescent="0.25">
      <c r="A10" s="14">
        <v>4</v>
      </c>
      <c r="B10" s="17" t="s">
        <v>313</v>
      </c>
      <c r="C10" s="2" t="s">
        <v>755</v>
      </c>
      <c r="D10" s="4" t="s">
        <v>376</v>
      </c>
      <c r="E10" s="48">
        <v>73</v>
      </c>
      <c r="F10" s="48">
        <v>76</v>
      </c>
      <c r="G10" s="48">
        <v>61</v>
      </c>
      <c r="H10" s="48">
        <v>84</v>
      </c>
      <c r="I10" s="48">
        <v>70</v>
      </c>
      <c r="J10" s="48">
        <v>63</v>
      </c>
      <c r="K10" s="48">
        <v>78</v>
      </c>
      <c r="L10" s="48">
        <v>80</v>
      </c>
      <c r="M10" s="48">
        <v>83</v>
      </c>
      <c r="N10" s="48">
        <v>98</v>
      </c>
      <c r="O10" s="48">
        <v>83</v>
      </c>
      <c r="P10" s="48">
        <v>94</v>
      </c>
      <c r="Q10" s="58">
        <f t="shared" si="2"/>
        <v>78.583333333333329</v>
      </c>
    </row>
    <row r="11" spans="1:17" s="5" customFormat="1" ht="13.5" customHeight="1" x14ac:dyDescent="0.3">
      <c r="A11" s="14"/>
      <c r="B11" s="17"/>
      <c r="C11" s="2"/>
      <c r="D11" s="4"/>
      <c r="E11" s="30" t="str">
        <f t="shared" ref="E11:P11" si="4">IF(E10&gt;=90,"A",IF(E10&gt;=80,"B",IF(E10&gt;=70,"C",IF(E10&gt;=60,"D","F"))))</f>
        <v>C</v>
      </c>
      <c r="F11" s="30" t="str">
        <f t="shared" si="4"/>
        <v>C</v>
      </c>
      <c r="G11" s="30" t="str">
        <f t="shared" si="4"/>
        <v>D</v>
      </c>
      <c r="H11" s="30" t="str">
        <f t="shared" si="4"/>
        <v>B</v>
      </c>
      <c r="I11" s="30" t="str">
        <f t="shared" si="4"/>
        <v>C</v>
      </c>
      <c r="J11" s="30" t="str">
        <f t="shared" si="4"/>
        <v>D</v>
      </c>
      <c r="K11" s="30" t="str">
        <f t="shared" si="4"/>
        <v>C</v>
      </c>
      <c r="L11" s="30" t="str">
        <f t="shared" si="4"/>
        <v>B</v>
      </c>
      <c r="M11" s="30" t="str">
        <f t="shared" si="4"/>
        <v>B</v>
      </c>
      <c r="N11" s="30" t="str">
        <f t="shared" si="4"/>
        <v>A</v>
      </c>
      <c r="O11" s="30" t="str">
        <f t="shared" si="4"/>
        <v>B</v>
      </c>
      <c r="P11" s="30" t="str">
        <f t="shared" si="4"/>
        <v>A</v>
      </c>
      <c r="Q11" s="58"/>
    </row>
    <row r="12" spans="1:17" s="5" customFormat="1" ht="13.5" customHeight="1" x14ac:dyDescent="0.25">
      <c r="A12" s="14">
        <v>5</v>
      </c>
      <c r="B12" s="17" t="s">
        <v>403</v>
      </c>
      <c r="C12" s="2" t="s">
        <v>756</v>
      </c>
      <c r="D12" s="4" t="s">
        <v>375</v>
      </c>
      <c r="E12" s="48">
        <v>67</v>
      </c>
      <c r="F12" s="48">
        <v>67</v>
      </c>
      <c r="G12" s="48">
        <v>61</v>
      </c>
      <c r="H12" s="48">
        <v>64</v>
      </c>
      <c r="I12" s="48">
        <v>70</v>
      </c>
      <c r="J12" s="48">
        <v>83</v>
      </c>
      <c r="K12" s="48">
        <v>66</v>
      </c>
      <c r="L12" s="48">
        <v>70</v>
      </c>
      <c r="M12" s="48">
        <v>85</v>
      </c>
      <c r="N12" s="48">
        <v>97</v>
      </c>
      <c r="O12" s="48">
        <v>84</v>
      </c>
      <c r="P12" s="48">
        <v>95</v>
      </c>
      <c r="Q12" s="58">
        <f t="shared" si="2"/>
        <v>75.75</v>
      </c>
    </row>
    <row r="13" spans="1:17" s="5" customFormat="1" ht="13.5" customHeight="1" x14ac:dyDescent="0.3">
      <c r="A13" s="14"/>
      <c r="B13" s="17"/>
      <c r="C13" s="2"/>
      <c r="D13" s="4"/>
      <c r="E13" s="30" t="str">
        <f t="shared" ref="E13:P13" si="5">IF(E12&gt;=90,"A",IF(E12&gt;=80,"B",IF(E12&gt;=70,"C",IF(E12&gt;=60,"D","F"))))</f>
        <v>D</v>
      </c>
      <c r="F13" s="30" t="str">
        <f t="shared" si="5"/>
        <v>D</v>
      </c>
      <c r="G13" s="30" t="str">
        <f t="shared" si="5"/>
        <v>D</v>
      </c>
      <c r="H13" s="30" t="str">
        <f t="shared" si="5"/>
        <v>D</v>
      </c>
      <c r="I13" s="30" t="str">
        <f t="shared" si="5"/>
        <v>C</v>
      </c>
      <c r="J13" s="30" t="str">
        <f t="shared" si="5"/>
        <v>B</v>
      </c>
      <c r="K13" s="30" t="str">
        <f t="shared" si="5"/>
        <v>D</v>
      </c>
      <c r="L13" s="30" t="str">
        <f t="shared" si="5"/>
        <v>C</v>
      </c>
      <c r="M13" s="30" t="str">
        <f t="shared" si="5"/>
        <v>B</v>
      </c>
      <c r="N13" s="30" t="str">
        <f t="shared" si="5"/>
        <v>A</v>
      </c>
      <c r="O13" s="30" t="str">
        <f t="shared" si="5"/>
        <v>B</v>
      </c>
      <c r="P13" s="30" t="str">
        <f t="shared" si="5"/>
        <v>A</v>
      </c>
      <c r="Q13" s="58"/>
    </row>
    <row r="14" spans="1:17" s="5" customFormat="1" ht="13.5" customHeight="1" x14ac:dyDescent="0.25">
      <c r="A14" s="14">
        <v>6</v>
      </c>
      <c r="B14" s="15" t="s">
        <v>350</v>
      </c>
      <c r="C14" s="2" t="s">
        <v>757</v>
      </c>
      <c r="D14" s="4" t="s">
        <v>376</v>
      </c>
      <c r="E14" s="48">
        <v>79.900000000000006</v>
      </c>
      <c r="F14" s="48">
        <v>91</v>
      </c>
      <c r="G14" s="48">
        <v>96</v>
      </c>
      <c r="H14" s="48">
        <v>94</v>
      </c>
      <c r="I14" s="48">
        <v>87</v>
      </c>
      <c r="J14" s="48">
        <v>98.5</v>
      </c>
      <c r="K14" s="48">
        <v>92.5</v>
      </c>
      <c r="L14" s="48">
        <v>90</v>
      </c>
      <c r="M14" s="48">
        <v>99</v>
      </c>
      <c r="N14" s="48">
        <v>97</v>
      </c>
      <c r="O14" s="48">
        <v>99</v>
      </c>
      <c r="P14" s="48">
        <v>97</v>
      </c>
      <c r="Q14" s="58">
        <f t="shared" si="2"/>
        <v>93.408333333333346</v>
      </c>
    </row>
    <row r="15" spans="1:17" s="5" customFormat="1" ht="13.5" customHeight="1" x14ac:dyDescent="0.3">
      <c r="A15" s="14"/>
      <c r="B15" s="15"/>
      <c r="C15" s="2"/>
      <c r="D15" s="4"/>
      <c r="E15" s="30" t="str">
        <f t="shared" ref="E15:P15" si="6">IF(E14&gt;=90,"A",IF(E14&gt;=80,"B",IF(E14&gt;=70,"C",IF(E14&gt;=60,"D","F"))))</f>
        <v>C</v>
      </c>
      <c r="F15" s="30" t="str">
        <f t="shared" si="6"/>
        <v>A</v>
      </c>
      <c r="G15" s="30" t="str">
        <f t="shared" si="6"/>
        <v>A</v>
      </c>
      <c r="H15" s="30" t="str">
        <f t="shared" si="6"/>
        <v>A</v>
      </c>
      <c r="I15" s="30" t="str">
        <f t="shared" si="6"/>
        <v>B</v>
      </c>
      <c r="J15" s="30" t="str">
        <f t="shared" si="6"/>
        <v>A</v>
      </c>
      <c r="K15" s="30" t="str">
        <f t="shared" si="6"/>
        <v>A</v>
      </c>
      <c r="L15" s="30" t="str">
        <f t="shared" si="6"/>
        <v>A</v>
      </c>
      <c r="M15" s="30" t="str">
        <f t="shared" si="6"/>
        <v>A</v>
      </c>
      <c r="N15" s="30" t="str">
        <f t="shared" si="6"/>
        <v>A</v>
      </c>
      <c r="O15" s="30" t="str">
        <f t="shared" si="6"/>
        <v>A</v>
      </c>
      <c r="P15" s="30" t="str">
        <f t="shared" si="6"/>
        <v>A</v>
      </c>
      <c r="Q15" s="58"/>
    </row>
    <row r="16" spans="1:17" s="5" customFormat="1" ht="13.5" customHeight="1" x14ac:dyDescent="0.25">
      <c r="A16" s="14">
        <v>7</v>
      </c>
      <c r="B16" s="17" t="s">
        <v>314</v>
      </c>
      <c r="C16" s="2" t="s">
        <v>758</v>
      </c>
      <c r="D16" s="4" t="s">
        <v>376</v>
      </c>
      <c r="E16" s="48">
        <v>81</v>
      </c>
      <c r="F16" s="48">
        <v>77</v>
      </c>
      <c r="G16" s="48">
        <v>80</v>
      </c>
      <c r="H16" s="48">
        <v>95</v>
      </c>
      <c r="I16" s="48">
        <v>77</v>
      </c>
      <c r="J16" s="48">
        <v>88</v>
      </c>
      <c r="K16" s="48">
        <v>86</v>
      </c>
      <c r="L16" s="48">
        <v>70</v>
      </c>
      <c r="M16" s="48">
        <v>82</v>
      </c>
      <c r="N16" s="48">
        <v>98</v>
      </c>
      <c r="O16" s="48">
        <v>94</v>
      </c>
      <c r="P16" s="48">
        <v>95</v>
      </c>
      <c r="Q16" s="58">
        <f t="shared" si="2"/>
        <v>85.25</v>
      </c>
    </row>
    <row r="17" spans="1:17" s="5" customFormat="1" ht="13.5" customHeight="1" x14ac:dyDescent="0.3">
      <c r="A17" s="14"/>
      <c r="B17" s="17"/>
      <c r="C17" s="2"/>
      <c r="D17" s="4"/>
      <c r="E17" s="30" t="str">
        <f t="shared" ref="E17:P17" si="7">IF(E16&gt;=90,"A",IF(E16&gt;=80,"B",IF(E16&gt;=70,"C",IF(E16&gt;=60,"D","F"))))</f>
        <v>B</v>
      </c>
      <c r="F17" s="30" t="str">
        <f t="shared" si="7"/>
        <v>C</v>
      </c>
      <c r="G17" s="30" t="str">
        <f t="shared" si="7"/>
        <v>B</v>
      </c>
      <c r="H17" s="30" t="str">
        <f t="shared" si="7"/>
        <v>A</v>
      </c>
      <c r="I17" s="30" t="str">
        <f t="shared" si="7"/>
        <v>C</v>
      </c>
      <c r="J17" s="30" t="str">
        <f t="shared" si="7"/>
        <v>B</v>
      </c>
      <c r="K17" s="30" t="str">
        <f t="shared" si="7"/>
        <v>B</v>
      </c>
      <c r="L17" s="30" t="str">
        <f t="shared" si="7"/>
        <v>C</v>
      </c>
      <c r="M17" s="30" t="str">
        <f t="shared" si="7"/>
        <v>B</v>
      </c>
      <c r="N17" s="30" t="str">
        <f t="shared" si="7"/>
        <v>A</v>
      </c>
      <c r="O17" s="30" t="str">
        <f t="shared" si="7"/>
        <v>A</v>
      </c>
      <c r="P17" s="30" t="str">
        <f t="shared" si="7"/>
        <v>A</v>
      </c>
      <c r="Q17" s="58"/>
    </row>
    <row r="18" spans="1:17" s="5" customFormat="1" ht="13.5" customHeight="1" x14ac:dyDescent="0.25">
      <c r="A18" s="14">
        <v>8</v>
      </c>
      <c r="B18" s="17" t="s">
        <v>401</v>
      </c>
      <c r="C18" s="2" t="s">
        <v>759</v>
      </c>
      <c r="D18" s="4" t="s">
        <v>376</v>
      </c>
      <c r="E18" s="48">
        <v>91</v>
      </c>
      <c r="F18" s="48">
        <v>91</v>
      </c>
      <c r="G18" s="48">
        <v>96</v>
      </c>
      <c r="H18" s="48">
        <v>94</v>
      </c>
      <c r="I18" s="48">
        <v>91</v>
      </c>
      <c r="J18" s="48">
        <v>91.5</v>
      </c>
      <c r="K18" s="48">
        <v>88</v>
      </c>
      <c r="L18" s="48">
        <v>90</v>
      </c>
      <c r="M18" s="48">
        <v>93</v>
      </c>
      <c r="N18" s="48">
        <v>98</v>
      </c>
      <c r="O18" s="48">
        <v>97</v>
      </c>
      <c r="P18" s="48">
        <v>95</v>
      </c>
      <c r="Q18" s="58">
        <f t="shared" si="2"/>
        <v>92.958333333333329</v>
      </c>
    </row>
    <row r="19" spans="1:17" s="5" customFormat="1" ht="13.5" customHeight="1" x14ac:dyDescent="0.3">
      <c r="A19" s="14"/>
      <c r="B19" s="17"/>
      <c r="C19" s="2"/>
      <c r="D19" s="4"/>
      <c r="E19" s="30" t="str">
        <f t="shared" ref="E19:P19" si="8">IF(E18&gt;=90,"A",IF(E18&gt;=80,"B",IF(E18&gt;=70,"C",IF(E18&gt;=60,"D","F"))))</f>
        <v>A</v>
      </c>
      <c r="F19" s="30" t="str">
        <f t="shared" si="8"/>
        <v>A</v>
      </c>
      <c r="G19" s="30" t="str">
        <f t="shared" si="8"/>
        <v>A</v>
      </c>
      <c r="H19" s="30" t="str">
        <f t="shared" si="8"/>
        <v>A</v>
      </c>
      <c r="I19" s="30" t="str">
        <f t="shared" si="8"/>
        <v>A</v>
      </c>
      <c r="J19" s="30" t="str">
        <f t="shared" si="8"/>
        <v>A</v>
      </c>
      <c r="K19" s="30" t="str">
        <f t="shared" si="8"/>
        <v>B</v>
      </c>
      <c r="L19" s="30" t="str">
        <f t="shared" si="8"/>
        <v>A</v>
      </c>
      <c r="M19" s="30" t="str">
        <f t="shared" si="8"/>
        <v>A</v>
      </c>
      <c r="N19" s="30" t="str">
        <f t="shared" si="8"/>
        <v>A</v>
      </c>
      <c r="O19" s="30" t="str">
        <f t="shared" si="8"/>
        <v>A</v>
      </c>
      <c r="P19" s="30" t="str">
        <f t="shared" si="8"/>
        <v>A</v>
      </c>
      <c r="Q19" s="58"/>
    </row>
    <row r="20" spans="1:17" s="5" customFormat="1" ht="13.5" customHeight="1" x14ac:dyDescent="0.25">
      <c r="A20" s="14">
        <v>9</v>
      </c>
      <c r="B20" s="15" t="s">
        <v>351</v>
      </c>
      <c r="C20" s="2" t="s">
        <v>760</v>
      </c>
      <c r="D20" s="4" t="s">
        <v>376</v>
      </c>
      <c r="E20" s="48">
        <v>79.7</v>
      </c>
      <c r="F20" s="48">
        <v>95</v>
      </c>
      <c r="G20" s="48">
        <v>85</v>
      </c>
      <c r="H20" s="48">
        <v>94</v>
      </c>
      <c r="I20" s="48">
        <v>83</v>
      </c>
      <c r="J20" s="48">
        <v>93.5</v>
      </c>
      <c r="K20" s="48">
        <v>96</v>
      </c>
      <c r="L20" s="48">
        <v>85</v>
      </c>
      <c r="M20" s="48">
        <v>100</v>
      </c>
      <c r="N20" s="48">
        <v>98</v>
      </c>
      <c r="O20" s="48">
        <v>99</v>
      </c>
      <c r="P20" s="48">
        <v>97</v>
      </c>
      <c r="Q20" s="58">
        <f t="shared" si="2"/>
        <v>92.100000000000009</v>
      </c>
    </row>
    <row r="21" spans="1:17" s="5" customFormat="1" ht="13.5" customHeight="1" x14ac:dyDescent="0.3">
      <c r="A21" s="14"/>
      <c r="B21" s="15"/>
      <c r="C21" s="2"/>
      <c r="D21" s="4"/>
      <c r="E21" s="30" t="str">
        <f t="shared" ref="E21:P21" si="9">IF(E20&gt;=90,"A",IF(E20&gt;=80,"B",IF(E20&gt;=70,"C",IF(E20&gt;=60,"D","F"))))</f>
        <v>C</v>
      </c>
      <c r="F21" s="30" t="str">
        <f t="shared" si="9"/>
        <v>A</v>
      </c>
      <c r="G21" s="30" t="str">
        <f t="shared" si="9"/>
        <v>B</v>
      </c>
      <c r="H21" s="30" t="str">
        <f t="shared" si="9"/>
        <v>A</v>
      </c>
      <c r="I21" s="30" t="str">
        <f t="shared" si="9"/>
        <v>B</v>
      </c>
      <c r="J21" s="30" t="str">
        <f t="shared" si="9"/>
        <v>A</v>
      </c>
      <c r="K21" s="30" t="str">
        <f t="shared" si="9"/>
        <v>A</v>
      </c>
      <c r="L21" s="30" t="str">
        <f t="shared" si="9"/>
        <v>B</v>
      </c>
      <c r="M21" s="30" t="str">
        <f t="shared" si="9"/>
        <v>A</v>
      </c>
      <c r="N21" s="30" t="str">
        <f t="shared" si="9"/>
        <v>A</v>
      </c>
      <c r="O21" s="30" t="str">
        <f t="shared" si="9"/>
        <v>A</v>
      </c>
      <c r="P21" s="30" t="str">
        <f t="shared" si="9"/>
        <v>A</v>
      </c>
      <c r="Q21" s="58"/>
    </row>
    <row r="22" spans="1:17" s="5" customFormat="1" ht="13.5" customHeight="1" x14ac:dyDescent="0.25">
      <c r="A22" s="14">
        <v>10</v>
      </c>
      <c r="B22" s="17" t="s">
        <v>315</v>
      </c>
      <c r="C22" s="2" t="s">
        <v>761</v>
      </c>
      <c r="D22" s="4" t="s">
        <v>376</v>
      </c>
      <c r="E22" s="22">
        <v>91</v>
      </c>
      <c r="F22" s="38">
        <v>92</v>
      </c>
      <c r="G22" s="48">
        <v>100</v>
      </c>
      <c r="H22" s="48">
        <v>98</v>
      </c>
      <c r="I22" s="48">
        <v>88</v>
      </c>
      <c r="J22" s="48">
        <v>100</v>
      </c>
      <c r="K22" s="48">
        <v>99</v>
      </c>
      <c r="L22" s="48">
        <v>100</v>
      </c>
      <c r="M22" s="48">
        <v>94</v>
      </c>
      <c r="N22" s="48">
        <v>100</v>
      </c>
      <c r="O22" s="48">
        <v>99</v>
      </c>
      <c r="P22" s="48">
        <v>91</v>
      </c>
      <c r="Q22" s="58">
        <f t="shared" si="2"/>
        <v>96</v>
      </c>
    </row>
    <row r="23" spans="1:17" s="5" customFormat="1" ht="13.5" customHeight="1" x14ac:dyDescent="0.3">
      <c r="A23" s="14"/>
      <c r="B23" s="17"/>
      <c r="C23" s="2"/>
      <c r="D23" s="4"/>
      <c r="E23" s="30" t="str">
        <f t="shared" ref="E23:P23" si="10">IF(E22&gt;=90,"A",IF(E22&gt;=80,"B",IF(E22&gt;=70,"C",IF(E22&gt;=60,"D","F"))))</f>
        <v>A</v>
      </c>
      <c r="F23" s="30" t="str">
        <f t="shared" si="10"/>
        <v>A</v>
      </c>
      <c r="G23" s="30" t="str">
        <f t="shared" si="10"/>
        <v>A</v>
      </c>
      <c r="H23" s="30" t="str">
        <f t="shared" si="10"/>
        <v>A</v>
      </c>
      <c r="I23" s="30" t="str">
        <f t="shared" si="10"/>
        <v>B</v>
      </c>
      <c r="J23" s="30" t="str">
        <f t="shared" si="10"/>
        <v>A</v>
      </c>
      <c r="K23" s="30" t="str">
        <f t="shared" si="10"/>
        <v>A</v>
      </c>
      <c r="L23" s="30" t="str">
        <f t="shared" si="10"/>
        <v>A</v>
      </c>
      <c r="M23" s="30" t="str">
        <f t="shared" si="10"/>
        <v>A</v>
      </c>
      <c r="N23" s="30" t="str">
        <f t="shared" si="10"/>
        <v>A</v>
      </c>
      <c r="O23" s="30" t="str">
        <f t="shared" si="10"/>
        <v>A</v>
      </c>
      <c r="P23" s="30" t="str">
        <f t="shared" si="10"/>
        <v>A</v>
      </c>
      <c r="Q23" s="58"/>
    </row>
    <row r="24" spans="1:17" s="5" customFormat="1" ht="13.5" customHeight="1" x14ac:dyDescent="0.25">
      <c r="A24" s="14">
        <v>11</v>
      </c>
      <c r="B24" s="17" t="s">
        <v>316</v>
      </c>
      <c r="C24" s="2" t="s">
        <v>762</v>
      </c>
      <c r="D24" s="4" t="s">
        <v>376</v>
      </c>
      <c r="E24" s="48">
        <v>81</v>
      </c>
      <c r="F24" s="48">
        <v>88</v>
      </c>
      <c r="G24" s="48">
        <v>74</v>
      </c>
      <c r="H24" s="48">
        <v>91</v>
      </c>
      <c r="I24" s="48">
        <v>86</v>
      </c>
      <c r="J24" s="48">
        <v>88</v>
      </c>
      <c r="K24" s="48">
        <v>93</v>
      </c>
      <c r="L24" s="48">
        <v>70</v>
      </c>
      <c r="M24" s="48">
        <v>95</v>
      </c>
      <c r="N24" s="48">
        <v>98</v>
      </c>
      <c r="O24" s="48">
        <v>86</v>
      </c>
      <c r="P24" s="48">
        <v>97</v>
      </c>
      <c r="Q24" s="58">
        <f t="shared" si="2"/>
        <v>87.25</v>
      </c>
    </row>
    <row r="25" spans="1:17" s="5" customFormat="1" ht="13.5" customHeight="1" x14ac:dyDescent="0.3">
      <c r="A25" s="14"/>
      <c r="B25" s="17"/>
      <c r="C25" s="2"/>
      <c r="D25" s="4"/>
      <c r="E25" s="30" t="str">
        <f t="shared" ref="E25:P25" si="11">IF(E24&gt;=90,"A",IF(E24&gt;=80,"B",IF(E24&gt;=70,"C",IF(E24&gt;=60,"D","F"))))</f>
        <v>B</v>
      </c>
      <c r="F25" s="30" t="str">
        <f t="shared" si="11"/>
        <v>B</v>
      </c>
      <c r="G25" s="30" t="str">
        <f t="shared" si="11"/>
        <v>C</v>
      </c>
      <c r="H25" s="30" t="str">
        <f t="shared" si="11"/>
        <v>A</v>
      </c>
      <c r="I25" s="30" t="str">
        <f t="shared" si="11"/>
        <v>B</v>
      </c>
      <c r="J25" s="30" t="str">
        <f t="shared" si="11"/>
        <v>B</v>
      </c>
      <c r="K25" s="30" t="str">
        <f t="shared" si="11"/>
        <v>A</v>
      </c>
      <c r="L25" s="30" t="str">
        <f t="shared" si="11"/>
        <v>C</v>
      </c>
      <c r="M25" s="30" t="str">
        <f t="shared" si="11"/>
        <v>A</v>
      </c>
      <c r="N25" s="30" t="str">
        <f t="shared" si="11"/>
        <v>A</v>
      </c>
      <c r="O25" s="30" t="str">
        <f t="shared" si="11"/>
        <v>B</v>
      </c>
      <c r="P25" s="30" t="str">
        <f t="shared" si="11"/>
        <v>A</v>
      </c>
      <c r="Q25" s="58"/>
    </row>
    <row r="26" spans="1:17" s="5" customFormat="1" ht="13.5" customHeight="1" x14ac:dyDescent="0.25">
      <c r="A26" s="14">
        <v>12</v>
      </c>
      <c r="B26" s="17" t="s">
        <v>383</v>
      </c>
      <c r="C26" s="2" t="s">
        <v>763</v>
      </c>
      <c r="D26" s="4" t="s">
        <v>376</v>
      </c>
      <c r="E26" s="48">
        <v>80.7</v>
      </c>
      <c r="F26" s="48">
        <v>86</v>
      </c>
      <c r="G26" s="48">
        <v>54</v>
      </c>
      <c r="H26" s="48">
        <v>94</v>
      </c>
      <c r="I26" s="48">
        <v>72</v>
      </c>
      <c r="J26" s="48">
        <v>97.5</v>
      </c>
      <c r="K26" s="48">
        <v>85</v>
      </c>
      <c r="L26" s="48">
        <v>61</v>
      </c>
      <c r="M26" s="48">
        <v>91</v>
      </c>
      <c r="N26" s="48">
        <v>97</v>
      </c>
      <c r="O26" s="48">
        <v>82</v>
      </c>
      <c r="P26" s="48">
        <v>96</v>
      </c>
      <c r="Q26" s="58">
        <f t="shared" si="2"/>
        <v>83.016666666666666</v>
      </c>
    </row>
    <row r="27" spans="1:17" s="5" customFormat="1" ht="13.5" customHeight="1" x14ac:dyDescent="0.3">
      <c r="A27" s="14"/>
      <c r="B27" s="17"/>
      <c r="C27" s="2"/>
      <c r="D27" s="4"/>
      <c r="E27" s="30" t="str">
        <f t="shared" ref="E27:P27" si="12">IF(E26&gt;=90,"A",IF(E26&gt;=80,"B",IF(E26&gt;=70,"C",IF(E26&gt;=60,"D","F"))))</f>
        <v>B</v>
      </c>
      <c r="F27" s="30" t="str">
        <f t="shared" si="12"/>
        <v>B</v>
      </c>
      <c r="G27" s="30" t="str">
        <f t="shared" si="12"/>
        <v>F</v>
      </c>
      <c r="H27" s="30" t="str">
        <f t="shared" si="12"/>
        <v>A</v>
      </c>
      <c r="I27" s="30" t="str">
        <f t="shared" si="12"/>
        <v>C</v>
      </c>
      <c r="J27" s="30" t="str">
        <f t="shared" si="12"/>
        <v>A</v>
      </c>
      <c r="K27" s="30" t="str">
        <f t="shared" si="12"/>
        <v>B</v>
      </c>
      <c r="L27" s="30" t="str">
        <f t="shared" si="12"/>
        <v>D</v>
      </c>
      <c r="M27" s="30" t="str">
        <f t="shared" si="12"/>
        <v>A</v>
      </c>
      <c r="N27" s="30" t="str">
        <f t="shared" si="12"/>
        <v>A</v>
      </c>
      <c r="O27" s="30" t="str">
        <f t="shared" si="12"/>
        <v>B</v>
      </c>
      <c r="P27" s="30" t="str">
        <f t="shared" si="12"/>
        <v>A</v>
      </c>
      <c r="Q27" s="58"/>
    </row>
    <row r="28" spans="1:17" s="5" customFormat="1" ht="13.5" customHeight="1" x14ac:dyDescent="0.25">
      <c r="A28" s="14">
        <v>13</v>
      </c>
      <c r="B28" s="15" t="s">
        <v>352</v>
      </c>
      <c r="C28" s="2" t="s">
        <v>764</v>
      </c>
      <c r="D28" s="4" t="s">
        <v>376</v>
      </c>
      <c r="E28" s="48">
        <v>83.9</v>
      </c>
      <c r="F28" s="48">
        <v>93</v>
      </c>
      <c r="G28" s="48">
        <v>85</v>
      </c>
      <c r="H28" s="48">
        <v>93</v>
      </c>
      <c r="I28" s="48">
        <v>80</v>
      </c>
      <c r="J28" s="48">
        <v>93</v>
      </c>
      <c r="K28" s="48">
        <v>92.5</v>
      </c>
      <c r="L28" s="48">
        <v>80</v>
      </c>
      <c r="M28" s="48">
        <v>92</v>
      </c>
      <c r="N28" s="48">
        <v>98</v>
      </c>
      <c r="O28" s="48">
        <v>95</v>
      </c>
      <c r="P28" s="48">
        <v>100</v>
      </c>
      <c r="Q28" s="58">
        <f t="shared" si="2"/>
        <v>90.45</v>
      </c>
    </row>
    <row r="29" spans="1:17" s="5" customFormat="1" ht="13.5" customHeight="1" x14ac:dyDescent="0.3">
      <c r="A29" s="14"/>
      <c r="B29" s="15"/>
      <c r="C29" s="2"/>
      <c r="D29" s="4"/>
      <c r="E29" s="30" t="str">
        <f t="shared" ref="E29:P29" si="13">IF(E28&gt;=90,"A",IF(E28&gt;=80,"B",IF(E28&gt;=70,"C",IF(E28&gt;=60,"D","F"))))</f>
        <v>B</v>
      </c>
      <c r="F29" s="30" t="str">
        <f t="shared" si="13"/>
        <v>A</v>
      </c>
      <c r="G29" s="30" t="str">
        <f t="shared" si="13"/>
        <v>B</v>
      </c>
      <c r="H29" s="30" t="str">
        <f t="shared" si="13"/>
        <v>A</v>
      </c>
      <c r="I29" s="30" t="str">
        <f t="shared" si="13"/>
        <v>B</v>
      </c>
      <c r="J29" s="30" t="str">
        <f t="shared" si="13"/>
        <v>A</v>
      </c>
      <c r="K29" s="30" t="str">
        <f t="shared" si="13"/>
        <v>A</v>
      </c>
      <c r="L29" s="30" t="str">
        <f t="shared" si="13"/>
        <v>B</v>
      </c>
      <c r="M29" s="30" t="str">
        <f t="shared" si="13"/>
        <v>A</v>
      </c>
      <c r="N29" s="30" t="str">
        <f t="shared" si="13"/>
        <v>A</v>
      </c>
      <c r="O29" s="30" t="str">
        <f t="shared" si="13"/>
        <v>A</v>
      </c>
      <c r="P29" s="30" t="str">
        <f t="shared" si="13"/>
        <v>A</v>
      </c>
      <c r="Q29" s="58"/>
    </row>
    <row r="30" spans="1:17" s="5" customFormat="1" ht="13.5" customHeight="1" x14ac:dyDescent="0.25">
      <c r="A30" s="14">
        <v>14</v>
      </c>
      <c r="B30" s="15" t="s">
        <v>353</v>
      </c>
      <c r="C30" s="2" t="s">
        <v>765</v>
      </c>
      <c r="D30" s="4" t="s">
        <v>376</v>
      </c>
      <c r="E30" s="48">
        <v>80.5</v>
      </c>
      <c r="F30" s="48">
        <v>92</v>
      </c>
      <c r="G30" s="48">
        <v>90</v>
      </c>
      <c r="H30" s="48">
        <v>92</v>
      </c>
      <c r="I30" s="48">
        <v>77.5</v>
      </c>
      <c r="J30" s="48">
        <v>88</v>
      </c>
      <c r="K30" s="48">
        <v>91.5</v>
      </c>
      <c r="L30" s="48">
        <v>85</v>
      </c>
      <c r="M30" s="48">
        <v>98</v>
      </c>
      <c r="N30" s="48">
        <v>97</v>
      </c>
      <c r="O30" s="48">
        <v>94</v>
      </c>
      <c r="P30" s="48">
        <v>97</v>
      </c>
      <c r="Q30" s="58">
        <f t="shared" si="2"/>
        <v>90.208333333333329</v>
      </c>
    </row>
    <row r="31" spans="1:17" s="5" customFormat="1" ht="13.5" customHeight="1" x14ac:dyDescent="0.3">
      <c r="A31" s="14"/>
      <c r="B31" s="15"/>
      <c r="C31" s="2"/>
      <c r="D31" s="4"/>
      <c r="E31" s="30" t="str">
        <f t="shared" ref="E31:P33" si="14">IF(E30&gt;=90,"A",IF(E30&gt;=80,"B",IF(E30&gt;=70,"C",IF(E30&gt;=60,"D","F"))))</f>
        <v>B</v>
      </c>
      <c r="F31" s="30" t="str">
        <f t="shared" si="14"/>
        <v>A</v>
      </c>
      <c r="G31" s="30" t="str">
        <f t="shared" si="14"/>
        <v>A</v>
      </c>
      <c r="H31" s="30" t="str">
        <f t="shared" si="14"/>
        <v>A</v>
      </c>
      <c r="I31" s="30" t="str">
        <f t="shared" si="14"/>
        <v>C</v>
      </c>
      <c r="J31" s="30" t="str">
        <f t="shared" si="14"/>
        <v>B</v>
      </c>
      <c r="K31" s="30" t="str">
        <f t="shared" si="14"/>
        <v>A</v>
      </c>
      <c r="L31" s="30" t="str">
        <f t="shared" si="14"/>
        <v>B</v>
      </c>
      <c r="M31" s="30" t="str">
        <f t="shared" si="14"/>
        <v>A</v>
      </c>
      <c r="N31" s="30" t="str">
        <f t="shared" si="14"/>
        <v>A</v>
      </c>
      <c r="O31" s="30" t="str">
        <f t="shared" si="14"/>
        <v>A</v>
      </c>
      <c r="P31" s="30" t="str">
        <f t="shared" si="14"/>
        <v>A</v>
      </c>
      <c r="Q31" s="58"/>
    </row>
    <row r="32" spans="1:17" s="5" customFormat="1" ht="13.5" customHeight="1" x14ac:dyDescent="0.25">
      <c r="A32" s="14">
        <v>15</v>
      </c>
      <c r="B32" s="17" t="s">
        <v>317</v>
      </c>
      <c r="C32" s="2" t="s">
        <v>766</v>
      </c>
      <c r="D32" s="4" t="s">
        <v>375</v>
      </c>
      <c r="E32" s="48">
        <v>67.900000000000006</v>
      </c>
      <c r="F32" s="48">
        <v>64</v>
      </c>
      <c r="G32" s="48">
        <v>73</v>
      </c>
      <c r="H32" s="48">
        <v>77</v>
      </c>
      <c r="I32" s="48">
        <v>62</v>
      </c>
      <c r="J32" s="48">
        <v>74</v>
      </c>
      <c r="K32" s="48">
        <v>62.5</v>
      </c>
      <c r="L32" s="48">
        <v>62</v>
      </c>
      <c r="M32" s="48">
        <v>84</v>
      </c>
      <c r="N32" s="48">
        <v>98</v>
      </c>
      <c r="O32" s="48">
        <v>80</v>
      </c>
      <c r="P32" s="48">
        <v>95</v>
      </c>
      <c r="Q32" s="58">
        <f t="shared" si="2"/>
        <v>74.95</v>
      </c>
    </row>
    <row r="33" spans="1:17" s="5" customFormat="1" ht="13.5" customHeight="1" x14ac:dyDescent="0.3">
      <c r="A33" s="14"/>
      <c r="B33" s="17"/>
      <c r="C33" s="2"/>
      <c r="D33" s="4"/>
      <c r="E33" s="30" t="str">
        <f t="shared" si="14"/>
        <v>D</v>
      </c>
      <c r="F33" s="30" t="str">
        <f t="shared" si="14"/>
        <v>D</v>
      </c>
      <c r="G33" s="30" t="str">
        <f t="shared" si="14"/>
        <v>C</v>
      </c>
      <c r="H33" s="30" t="str">
        <f t="shared" si="14"/>
        <v>C</v>
      </c>
      <c r="I33" s="30" t="str">
        <f t="shared" si="14"/>
        <v>D</v>
      </c>
      <c r="J33" s="30" t="str">
        <f t="shared" si="14"/>
        <v>C</v>
      </c>
      <c r="K33" s="30" t="str">
        <f t="shared" si="14"/>
        <v>D</v>
      </c>
      <c r="L33" s="30" t="str">
        <f t="shared" si="14"/>
        <v>D</v>
      </c>
      <c r="M33" s="30" t="str">
        <f t="shared" si="14"/>
        <v>B</v>
      </c>
      <c r="N33" s="30" t="str">
        <f t="shared" si="14"/>
        <v>A</v>
      </c>
      <c r="O33" s="30" t="str">
        <f t="shared" si="14"/>
        <v>B</v>
      </c>
      <c r="P33" s="30" t="str">
        <f t="shared" si="14"/>
        <v>A</v>
      </c>
      <c r="Q33" s="58"/>
    </row>
    <row r="34" spans="1:17" s="5" customFormat="1" ht="13.5" customHeight="1" x14ac:dyDescent="0.25">
      <c r="A34" s="14">
        <v>16</v>
      </c>
      <c r="B34" s="17" t="s">
        <v>41</v>
      </c>
      <c r="C34" s="2" t="s">
        <v>767</v>
      </c>
      <c r="D34" s="4" t="s">
        <v>375</v>
      </c>
      <c r="E34" s="48">
        <v>84</v>
      </c>
      <c r="F34" s="48">
        <v>88</v>
      </c>
      <c r="G34" s="48">
        <v>75</v>
      </c>
      <c r="H34" s="48">
        <v>92</v>
      </c>
      <c r="I34" s="48">
        <v>71.5</v>
      </c>
      <c r="J34" s="48">
        <v>78.5</v>
      </c>
      <c r="K34" s="48">
        <v>84</v>
      </c>
      <c r="L34" s="48">
        <v>71</v>
      </c>
      <c r="M34" s="48">
        <v>96</v>
      </c>
      <c r="N34" s="48">
        <v>95</v>
      </c>
      <c r="O34" s="48">
        <v>89</v>
      </c>
      <c r="P34" s="48">
        <v>95</v>
      </c>
      <c r="Q34" s="58">
        <f t="shared" si="2"/>
        <v>84.916666666666671</v>
      </c>
    </row>
    <row r="35" spans="1:17" s="5" customFormat="1" ht="13.5" customHeight="1" x14ac:dyDescent="0.3">
      <c r="A35" s="14"/>
      <c r="B35" s="17"/>
      <c r="C35" s="2"/>
      <c r="D35" s="4"/>
      <c r="E35" s="30" t="str">
        <f t="shared" ref="E35:P35" si="15">IF(E34&gt;=90,"A",IF(E34&gt;=80,"B",IF(E34&gt;=70,"C",IF(E34&gt;=60,"D","F"))))</f>
        <v>B</v>
      </c>
      <c r="F35" s="30" t="str">
        <f t="shared" si="15"/>
        <v>B</v>
      </c>
      <c r="G35" s="30" t="str">
        <f t="shared" si="15"/>
        <v>C</v>
      </c>
      <c r="H35" s="30" t="str">
        <f t="shared" si="15"/>
        <v>A</v>
      </c>
      <c r="I35" s="30" t="str">
        <f t="shared" si="15"/>
        <v>C</v>
      </c>
      <c r="J35" s="30" t="str">
        <f t="shared" si="15"/>
        <v>C</v>
      </c>
      <c r="K35" s="30" t="str">
        <f t="shared" si="15"/>
        <v>B</v>
      </c>
      <c r="L35" s="30" t="str">
        <f t="shared" si="15"/>
        <v>C</v>
      </c>
      <c r="M35" s="30" t="str">
        <f t="shared" si="15"/>
        <v>A</v>
      </c>
      <c r="N35" s="30" t="str">
        <f t="shared" si="15"/>
        <v>A</v>
      </c>
      <c r="O35" s="30" t="str">
        <f t="shared" si="15"/>
        <v>B</v>
      </c>
      <c r="P35" s="30" t="str">
        <f t="shared" si="15"/>
        <v>A</v>
      </c>
      <c r="Q35" s="58"/>
    </row>
    <row r="36" spans="1:17" x14ac:dyDescent="0.25">
      <c r="A36" s="14">
        <v>17</v>
      </c>
      <c r="B36" s="17" t="s">
        <v>388</v>
      </c>
      <c r="C36" s="2" t="s">
        <v>768</v>
      </c>
      <c r="D36" s="4" t="s">
        <v>376</v>
      </c>
      <c r="E36" s="29">
        <v>84</v>
      </c>
      <c r="F36" s="29">
        <v>92</v>
      </c>
      <c r="G36" s="29">
        <v>100</v>
      </c>
      <c r="H36" s="29">
        <v>97</v>
      </c>
      <c r="I36" s="29">
        <v>90</v>
      </c>
      <c r="J36" s="48">
        <v>99</v>
      </c>
      <c r="K36" s="48">
        <v>98</v>
      </c>
      <c r="L36" s="62">
        <v>0</v>
      </c>
      <c r="M36" s="48">
        <v>95</v>
      </c>
      <c r="N36" s="48">
        <v>100</v>
      </c>
      <c r="O36" s="48">
        <v>97</v>
      </c>
      <c r="P36" s="48">
        <v>97</v>
      </c>
      <c r="Q36" s="58">
        <f t="shared" si="2"/>
        <v>87.416666666666671</v>
      </c>
    </row>
    <row r="37" spans="1:17" ht="15.75" x14ac:dyDescent="0.3">
      <c r="A37" s="14"/>
      <c r="B37" s="17"/>
      <c r="C37" s="2"/>
      <c r="D37" s="4"/>
      <c r="E37" s="30" t="str">
        <f t="shared" ref="E37:P37" si="16">IF(E36&gt;=90,"A",IF(E36&gt;=80,"B",IF(E36&gt;=70,"C",IF(E36&gt;=60,"D","F"))))</f>
        <v>B</v>
      </c>
      <c r="F37" s="30" t="str">
        <f t="shared" si="16"/>
        <v>A</v>
      </c>
      <c r="G37" s="30" t="str">
        <f t="shared" si="16"/>
        <v>A</v>
      </c>
      <c r="H37" s="30" t="str">
        <f t="shared" si="16"/>
        <v>A</v>
      </c>
      <c r="I37" s="30" t="str">
        <f t="shared" si="16"/>
        <v>A</v>
      </c>
      <c r="J37" s="30" t="str">
        <f t="shared" si="16"/>
        <v>A</v>
      </c>
      <c r="K37" s="30" t="str">
        <f t="shared" si="16"/>
        <v>A</v>
      </c>
      <c r="L37" s="61"/>
      <c r="M37" s="30" t="str">
        <f t="shared" si="16"/>
        <v>A</v>
      </c>
      <c r="N37" s="30" t="str">
        <f t="shared" si="16"/>
        <v>A</v>
      </c>
      <c r="O37" s="30" t="str">
        <f t="shared" si="16"/>
        <v>A</v>
      </c>
      <c r="P37" s="30" t="str">
        <f t="shared" si="16"/>
        <v>A</v>
      </c>
      <c r="Q37" s="58"/>
    </row>
    <row r="38" spans="1:17" x14ac:dyDescent="0.25">
      <c r="A38" s="14">
        <v>18</v>
      </c>
      <c r="B38" s="17" t="s">
        <v>410</v>
      </c>
      <c r="C38" s="2" t="s">
        <v>769</v>
      </c>
      <c r="D38" s="4" t="s">
        <v>411</v>
      </c>
      <c r="E38" s="76">
        <v>0</v>
      </c>
      <c r="F38" s="76">
        <v>0</v>
      </c>
      <c r="G38" s="29">
        <v>98</v>
      </c>
      <c r="H38" s="76">
        <v>0</v>
      </c>
      <c r="I38" s="76">
        <v>0</v>
      </c>
      <c r="J38" s="29">
        <v>88</v>
      </c>
      <c r="K38" s="62">
        <v>0</v>
      </c>
      <c r="L38" s="48">
        <v>86</v>
      </c>
      <c r="M38" s="62">
        <v>0</v>
      </c>
      <c r="N38" s="48">
        <v>90</v>
      </c>
      <c r="O38" s="62">
        <v>0</v>
      </c>
      <c r="P38" s="62">
        <v>0</v>
      </c>
      <c r="Q38" s="58">
        <f>AVERAGE(G38,J38,L38,N38)</f>
        <v>90.5</v>
      </c>
    </row>
    <row r="39" spans="1:17" ht="15.75" x14ac:dyDescent="0.3">
      <c r="A39" s="14"/>
      <c r="B39" s="17"/>
      <c r="C39" s="2"/>
      <c r="D39" s="4"/>
      <c r="E39" s="61"/>
      <c r="F39" s="61"/>
      <c r="G39" s="30" t="str">
        <f>IF(G38&gt;=90,"A",IF(G38&gt;=80,"B",IF(G38&gt;=70,"C",IF(G38&gt;=60,"D","F"))))</f>
        <v>A</v>
      </c>
      <c r="H39" s="61"/>
      <c r="I39" s="61"/>
      <c r="J39" s="30" t="str">
        <f>IF(J38&gt;=90,"A",IF(J38&gt;=80,"B",IF(J38&gt;=70,"C",IF(J38&gt;=60,"D","F"))))</f>
        <v>B</v>
      </c>
      <c r="K39" s="61"/>
      <c r="L39" s="30" t="str">
        <f>IF(L38&gt;=90,"A",IF(L38&gt;=80,"B",IF(L38&gt;=70,"C",IF(L38&gt;=60,"D","F"))))</f>
        <v>B</v>
      </c>
      <c r="M39" s="61"/>
      <c r="N39" s="30" t="str">
        <f>IF(N38&gt;=90,"A",IF(N38&gt;=80,"B",IF(N38&gt;=70,"C",IF(N38&gt;=60,"D","F"))))</f>
        <v>A</v>
      </c>
      <c r="O39" s="61"/>
      <c r="P39" s="61"/>
      <c r="Q39" s="58"/>
    </row>
    <row r="40" spans="1:17" x14ac:dyDescent="0.25">
      <c r="A40" s="14">
        <v>19</v>
      </c>
      <c r="B40" s="17" t="s">
        <v>318</v>
      </c>
      <c r="C40" s="2" t="s">
        <v>770</v>
      </c>
      <c r="D40" s="4" t="s">
        <v>376</v>
      </c>
      <c r="E40" s="29">
        <v>97</v>
      </c>
      <c r="F40" s="29">
        <v>92</v>
      </c>
      <c r="G40" s="29">
        <v>100</v>
      </c>
      <c r="H40" s="29">
        <v>97</v>
      </c>
      <c r="I40" s="29">
        <v>86</v>
      </c>
      <c r="J40" s="29">
        <v>99</v>
      </c>
      <c r="K40" s="48">
        <v>99</v>
      </c>
      <c r="L40" s="48">
        <v>96</v>
      </c>
      <c r="M40" s="48">
        <v>100</v>
      </c>
      <c r="N40" s="48">
        <v>100</v>
      </c>
      <c r="O40" s="48">
        <v>100</v>
      </c>
      <c r="P40" s="48">
        <v>100</v>
      </c>
      <c r="Q40" s="58">
        <f t="shared" si="2"/>
        <v>97.166666666666671</v>
      </c>
    </row>
    <row r="41" spans="1:17" ht="15.75" x14ac:dyDescent="0.3">
      <c r="A41" s="14"/>
      <c r="B41" s="17"/>
      <c r="C41" s="2"/>
      <c r="D41" s="4"/>
      <c r="E41" s="30" t="str">
        <f t="shared" ref="E41:P41" si="17">IF(E40&gt;=90,"A",IF(E40&gt;=80,"B",IF(E40&gt;=70,"C",IF(E40&gt;=60,"D","F"))))</f>
        <v>A</v>
      </c>
      <c r="F41" s="30" t="str">
        <f t="shared" si="17"/>
        <v>A</v>
      </c>
      <c r="G41" s="30" t="str">
        <f t="shared" si="17"/>
        <v>A</v>
      </c>
      <c r="H41" s="30" t="str">
        <f t="shared" si="17"/>
        <v>A</v>
      </c>
      <c r="I41" s="30" t="str">
        <f t="shared" si="17"/>
        <v>B</v>
      </c>
      <c r="J41" s="30" t="str">
        <f t="shared" si="17"/>
        <v>A</v>
      </c>
      <c r="K41" s="30" t="str">
        <f t="shared" si="17"/>
        <v>A</v>
      </c>
      <c r="L41" s="30" t="str">
        <f t="shared" si="17"/>
        <v>A</v>
      </c>
      <c r="M41" s="30" t="str">
        <f t="shared" si="17"/>
        <v>A</v>
      </c>
      <c r="N41" s="30" t="str">
        <f t="shared" si="17"/>
        <v>A</v>
      </c>
      <c r="O41" s="30" t="str">
        <f t="shared" si="17"/>
        <v>A</v>
      </c>
      <c r="P41" s="30" t="str">
        <f t="shared" si="17"/>
        <v>A</v>
      </c>
      <c r="Q41" s="58"/>
    </row>
    <row r="42" spans="1:17" x14ac:dyDescent="0.25">
      <c r="A42" s="14">
        <v>20</v>
      </c>
      <c r="B42" s="17" t="s">
        <v>319</v>
      </c>
      <c r="C42" s="2" t="s">
        <v>771</v>
      </c>
      <c r="D42" s="4" t="s">
        <v>376</v>
      </c>
      <c r="E42" s="29">
        <v>86</v>
      </c>
      <c r="F42" s="29">
        <v>96</v>
      </c>
      <c r="G42" s="29">
        <v>81</v>
      </c>
      <c r="H42" s="29">
        <v>96</v>
      </c>
      <c r="I42" s="29">
        <v>81</v>
      </c>
      <c r="J42" s="29">
        <v>92</v>
      </c>
      <c r="K42" s="48">
        <v>95.5</v>
      </c>
      <c r="L42" s="48">
        <v>81</v>
      </c>
      <c r="M42" s="48">
        <v>100</v>
      </c>
      <c r="N42" s="48">
        <v>100</v>
      </c>
      <c r="O42" s="48">
        <v>92</v>
      </c>
      <c r="P42" s="48">
        <v>98</v>
      </c>
      <c r="Q42" s="58">
        <f t="shared" si="2"/>
        <v>91.541666666666671</v>
      </c>
    </row>
    <row r="43" spans="1:17" ht="15.75" x14ac:dyDescent="0.3">
      <c r="A43" s="14"/>
      <c r="B43" s="17"/>
      <c r="C43" s="2"/>
      <c r="D43" s="4"/>
      <c r="E43" s="30" t="str">
        <f t="shared" ref="E43:P43" si="18">IF(E42&gt;=90,"A",IF(E42&gt;=80,"B",IF(E42&gt;=70,"C",IF(E42&gt;=60,"D","F"))))</f>
        <v>B</v>
      </c>
      <c r="F43" s="30" t="str">
        <f t="shared" si="18"/>
        <v>A</v>
      </c>
      <c r="G43" s="30" t="str">
        <f t="shared" si="18"/>
        <v>B</v>
      </c>
      <c r="H43" s="30" t="str">
        <f t="shared" si="18"/>
        <v>A</v>
      </c>
      <c r="I43" s="30" t="str">
        <f t="shared" si="18"/>
        <v>B</v>
      </c>
      <c r="J43" s="30" t="str">
        <f t="shared" si="18"/>
        <v>A</v>
      </c>
      <c r="K43" s="30" t="str">
        <f t="shared" si="18"/>
        <v>A</v>
      </c>
      <c r="L43" s="30" t="str">
        <f t="shared" si="18"/>
        <v>B</v>
      </c>
      <c r="M43" s="30" t="str">
        <f t="shared" si="18"/>
        <v>A</v>
      </c>
      <c r="N43" s="30" t="str">
        <f t="shared" si="18"/>
        <v>A</v>
      </c>
      <c r="O43" s="30" t="str">
        <f t="shared" si="18"/>
        <v>A</v>
      </c>
      <c r="P43" s="30" t="str">
        <f t="shared" si="18"/>
        <v>A</v>
      </c>
      <c r="Q43" s="58"/>
    </row>
    <row r="44" spans="1:17" x14ac:dyDescent="0.25">
      <c r="A44" s="14">
        <v>21</v>
      </c>
      <c r="B44" s="17" t="s">
        <v>387</v>
      </c>
      <c r="C44" s="2" t="s">
        <v>772</v>
      </c>
      <c r="D44" s="4" t="s">
        <v>376</v>
      </c>
      <c r="E44" s="29">
        <v>71.8</v>
      </c>
      <c r="F44" s="29">
        <v>87</v>
      </c>
      <c r="G44" s="29">
        <v>80</v>
      </c>
      <c r="H44" s="29">
        <v>88</v>
      </c>
      <c r="I44" s="29">
        <v>80</v>
      </c>
      <c r="J44" s="29">
        <v>77</v>
      </c>
      <c r="K44" s="48">
        <v>80.5</v>
      </c>
      <c r="L44" s="48">
        <v>70</v>
      </c>
      <c r="M44" s="48">
        <v>92</v>
      </c>
      <c r="N44" s="48">
        <v>98</v>
      </c>
      <c r="O44" s="48">
        <v>94</v>
      </c>
      <c r="P44" s="48">
        <v>97</v>
      </c>
      <c r="Q44" s="58">
        <f t="shared" si="2"/>
        <v>84.608333333333334</v>
      </c>
    </row>
    <row r="45" spans="1:17" ht="15.75" x14ac:dyDescent="0.3">
      <c r="A45" s="14"/>
      <c r="B45" s="17"/>
      <c r="C45" s="2"/>
      <c r="D45" s="4"/>
      <c r="E45" s="30" t="str">
        <f t="shared" ref="E45:P45" si="19">IF(E44&gt;=90,"A",IF(E44&gt;=80,"B",IF(E44&gt;=70,"C",IF(E44&gt;=60,"D","F"))))</f>
        <v>C</v>
      </c>
      <c r="F45" s="30" t="str">
        <f t="shared" si="19"/>
        <v>B</v>
      </c>
      <c r="G45" s="30" t="str">
        <f t="shared" si="19"/>
        <v>B</v>
      </c>
      <c r="H45" s="30" t="str">
        <f t="shared" si="19"/>
        <v>B</v>
      </c>
      <c r="I45" s="30" t="str">
        <f t="shared" si="19"/>
        <v>B</v>
      </c>
      <c r="J45" s="30" t="str">
        <f t="shared" si="19"/>
        <v>C</v>
      </c>
      <c r="K45" s="30" t="str">
        <f t="shared" si="19"/>
        <v>B</v>
      </c>
      <c r="L45" s="30" t="str">
        <f t="shared" si="19"/>
        <v>C</v>
      </c>
      <c r="M45" s="30" t="str">
        <f t="shared" si="19"/>
        <v>A</v>
      </c>
      <c r="N45" s="30" t="str">
        <f t="shared" si="19"/>
        <v>A</v>
      </c>
      <c r="O45" s="30" t="str">
        <f t="shared" si="19"/>
        <v>A</v>
      </c>
      <c r="P45" s="30" t="str">
        <f t="shared" si="19"/>
        <v>A</v>
      </c>
      <c r="Q45" s="58"/>
    </row>
    <row r="46" spans="1:17" x14ac:dyDescent="0.25">
      <c r="A46" s="14">
        <v>22</v>
      </c>
      <c r="B46" s="17" t="s">
        <v>385</v>
      </c>
      <c r="C46" s="2" t="s">
        <v>773</v>
      </c>
      <c r="D46" s="4" t="s">
        <v>376</v>
      </c>
      <c r="E46" s="29">
        <v>80</v>
      </c>
      <c r="F46" s="29">
        <v>95</v>
      </c>
      <c r="G46" s="29">
        <v>86</v>
      </c>
      <c r="H46" s="29">
        <v>93</v>
      </c>
      <c r="I46" s="29">
        <v>80</v>
      </c>
      <c r="J46" s="29">
        <v>87.5</v>
      </c>
      <c r="K46" s="29">
        <v>96</v>
      </c>
      <c r="L46" s="29">
        <v>71</v>
      </c>
      <c r="M46" s="29">
        <v>91</v>
      </c>
      <c r="N46" s="29">
        <v>100</v>
      </c>
      <c r="O46" s="29">
        <v>87</v>
      </c>
      <c r="P46" s="48">
        <v>100</v>
      </c>
      <c r="Q46" s="58">
        <f t="shared" si="2"/>
        <v>88.875</v>
      </c>
    </row>
    <row r="47" spans="1:17" ht="15.75" x14ac:dyDescent="0.3">
      <c r="A47" s="14"/>
      <c r="B47" s="17"/>
      <c r="C47" s="2"/>
      <c r="D47" s="4"/>
      <c r="E47" s="30" t="str">
        <f t="shared" ref="E47:P47" si="20">IF(E46&gt;=90,"A",IF(E46&gt;=80,"B",IF(E46&gt;=70,"C",IF(E46&gt;=60,"D","F"))))</f>
        <v>B</v>
      </c>
      <c r="F47" s="30" t="str">
        <f t="shared" si="20"/>
        <v>A</v>
      </c>
      <c r="G47" s="30" t="str">
        <f t="shared" si="20"/>
        <v>B</v>
      </c>
      <c r="H47" s="30" t="str">
        <f t="shared" si="20"/>
        <v>A</v>
      </c>
      <c r="I47" s="30" t="str">
        <f t="shared" si="20"/>
        <v>B</v>
      </c>
      <c r="J47" s="30" t="str">
        <f t="shared" si="20"/>
        <v>B</v>
      </c>
      <c r="K47" s="30" t="str">
        <f t="shared" si="20"/>
        <v>A</v>
      </c>
      <c r="L47" s="30" t="str">
        <f t="shared" si="20"/>
        <v>C</v>
      </c>
      <c r="M47" s="30" t="str">
        <f t="shared" si="20"/>
        <v>A</v>
      </c>
      <c r="N47" s="30" t="str">
        <f t="shared" si="20"/>
        <v>A</v>
      </c>
      <c r="O47" s="30" t="str">
        <f t="shared" si="20"/>
        <v>B</v>
      </c>
      <c r="P47" s="30" t="str">
        <f t="shared" si="20"/>
        <v>A</v>
      </c>
      <c r="Q47" s="58"/>
    </row>
    <row r="48" spans="1:17" x14ac:dyDescent="0.25">
      <c r="A48" s="14">
        <v>23</v>
      </c>
      <c r="B48" s="17" t="s">
        <v>402</v>
      </c>
      <c r="C48" s="2" t="s">
        <v>774</v>
      </c>
      <c r="D48" s="4" t="s">
        <v>375</v>
      </c>
      <c r="E48" s="29">
        <v>62</v>
      </c>
      <c r="F48" s="29">
        <v>49</v>
      </c>
      <c r="G48" s="29">
        <v>65</v>
      </c>
      <c r="H48" s="29">
        <v>81</v>
      </c>
      <c r="I48" s="29">
        <v>63</v>
      </c>
      <c r="J48" s="29">
        <v>53</v>
      </c>
      <c r="K48" s="29">
        <v>58.5</v>
      </c>
      <c r="L48" s="29">
        <v>70</v>
      </c>
      <c r="M48" s="29">
        <v>79</v>
      </c>
      <c r="N48" s="29">
        <v>97</v>
      </c>
      <c r="O48" s="29">
        <v>70</v>
      </c>
      <c r="P48" s="48">
        <v>91</v>
      </c>
      <c r="Q48" s="58">
        <f t="shared" si="2"/>
        <v>69.875</v>
      </c>
    </row>
    <row r="49" spans="1:17" ht="15.75" x14ac:dyDescent="0.3">
      <c r="A49" s="14"/>
      <c r="B49" s="17"/>
      <c r="C49" s="17"/>
      <c r="D49" s="4"/>
      <c r="E49" s="30" t="str">
        <f t="shared" ref="E49:P49" si="21">IF(E48&gt;=90,"A",IF(E48&gt;=80,"B",IF(E48&gt;=70,"C",IF(E48&gt;=60,"D","F"))))</f>
        <v>D</v>
      </c>
      <c r="F49" s="30" t="str">
        <f t="shared" si="21"/>
        <v>F</v>
      </c>
      <c r="G49" s="30" t="str">
        <f t="shared" si="21"/>
        <v>D</v>
      </c>
      <c r="H49" s="30" t="str">
        <f t="shared" si="21"/>
        <v>B</v>
      </c>
      <c r="I49" s="30" t="str">
        <f t="shared" si="21"/>
        <v>D</v>
      </c>
      <c r="J49" s="30" t="str">
        <f t="shared" si="21"/>
        <v>F</v>
      </c>
      <c r="K49" s="30" t="str">
        <f t="shared" si="21"/>
        <v>F</v>
      </c>
      <c r="L49" s="30" t="str">
        <f t="shared" si="21"/>
        <v>C</v>
      </c>
      <c r="M49" s="30" t="str">
        <f t="shared" si="21"/>
        <v>C</v>
      </c>
      <c r="N49" s="30" t="str">
        <f t="shared" si="21"/>
        <v>A</v>
      </c>
      <c r="O49" s="30" t="str">
        <f t="shared" si="21"/>
        <v>C</v>
      </c>
      <c r="P49" s="30" t="str">
        <f t="shared" si="21"/>
        <v>A</v>
      </c>
      <c r="Q49" s="48"/>
    </row>
  </sheetData>
  <sheetProtection formatCells="0" formatColumns="0" formatRows="0" insertColumns="0" insertRows="0" insertHyperlinks="0" deleteColumns="0" deleteRows="0" sort="0" autoFilter="0" pivotTables="0"/>
  <autoFilter ref="A1:D34" xr:uid="{00000000-0009-0000-0000-00001E000000}">
    <filterColumn colId="0" showButton="0"/>
  </autoFilter>
  <mergeCells count="1">
    <mergeCell ref="A1:B2"/>
  </mergeCells>
  <pageMargins left="0.17" right="0.17" top="0.4" bottom="0" header="0.17" footer="0.3"/>
  <pageSetup paperSize="9" orientation="landscape" r:id="rId1"/>
  <headerFooter>
    <oddFooter xml:space="preserve">&amp;C
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9"/>
  <sheetViews>
    <sheetView zoomScaleNormal="100" workbookViewId="0">
      <selection activeCell="O4" sqref="O4"/>
    </sheetView>
  </sheetViews>
  <sheetFormatPr defaultRowHeight="15" x14ac:dyDescent="0.25"/>
  <cols>
    <col min="1" max="1" width="4.28515625" style="13" customWidth="1"/>
    <col min="2" max="2" width="19.5703125" style="28" customWidth="1"/>
    <col min="3" max="3" width="11.140625" style="28" bestFit="1" customWidth="1"/>
    <col min="4" max="4" width="4.42578125" style="7" customWidth="1"/>
    <col min="5" max="5" width="7.85546875" style="46" customWidth="1"/>
    <col min="6" max="6" width="8.140625" style="46" customWidth="1"/>
    <col min="7" max="7" width="12.42578125" style="46" bestFit="1" customWidth="1"/>
    <col min="8" max="8" width="8.42578125" style="46" customWidth="1"/>
    <col min="9" max="9" width="9.42578125" style="46" customWidth="1"/>
    <col min="10" max="10" width="10.140625" style="46" customWidth="1"/>
    <col min="11" max="11" width="9.42578125" style="46" customWidth="1"/>
    <col min="12" max="12" width="10.28515625" style="46" customWidth="1"/>
    <col min="13" max="13" width="9.140625" style="46" customWidth="1"/>
    <col min="14" max="14" width="8.5703125" style="46" customWidth="1"/>
    <col min="15" max="15" width="7.5703125" style="46" customWidth="1"/>
    <col min="16" max="16384" width="9.140625" style="2"/>
  </cols>
  <sheetData>
    <row r="1" spans="1:16" ht="6" customHeight="1" x14ac:dyDescent="0.25">
      <c r="A1" s="85" t="s">
        <v>789</v>
      </c>
      <c r="B1" s="86"/>
      <c r="C1" s="80"/>
    </row>
    <row r="2" spans="1:16" ht="10.5" customHeight="1" x14ac:dyDescent="0.25">
      <c r="A2" s="87"/>
      <c r="B2" s="88"/>
      <c r="C2" s="80"/>
    </row>
    <row r="3" spans="1:16" s="44" customFormat="1" ht="25.5" customHeight="1" x14ac:dyDescent="0.25">
      <c r="A3" s="40" t="s">
        <v>452</v>
      </c>
      <c r="B3" s="41" t="s">
        <v>1</v>
      </c>
      <c r="C3" s="41"/>
      <c r="D3" s="42" t="s">
        <v>2</v>
      </c>
      <c r="E3" s="43" t="s">
        <v>426</v>
      </c>
      <c r="F3" s="43" t="s">
        <v>427</v>
      </c>
      <c r="G3" s="43" t="s">
        <v>456</v>
      </c>
      <c r="H3" s="43" t="s">
        <v>439</v>
      </c>
      <c r="I3" s="43" t="s">
        <v>440</v>
      </c>
      <c r="J3" s="43" t="s">
        <v>441</v>
      </c>
      <c r="K3" s="43" t="s">
        <v>443</v>
      </c>
      <c r="L3" s="43" t="s">
        <v>444</v>
      </c>
      <c r="M3" s="43" t="s">
        <v>437</v>
      </c>
      <c r="N3" s="43" t="s">
        <v>445</v>
      </c>
      <c r="O3" s="43" t="s">
        <v>438</v>
      </c>
      <c r="P3" s="43" t="s">
        <v>428</v>
      </c>
    </row>
    <row r="4" spans="1:16" s="5" customFormat="1" ht="13.5" customHeight="1" x14ac:dyDescent="0.25">
      <c r="A4" s="22">
        <v>1</v>
      </c>
      <c r="B4" s="17" t="s">
        <v>320</v>
      </c>
      <c r="C4" s="2" t="s">
        <v>776</v>
      </c>
      <c r="D4" s="4" t="s">
        <v>376</v>
      </c>
      <c r="E4" s="48">
        <v>91</v>
      </c>
      <c r="F4" s="62">
        <v>0</v>
      </c>
      <c r="G4" s="48">
        <v>75</v>
      </c>
      <c r="H4" s="48">
        <v>86</v>
      </c>
      <c r="I4" s="48">
        <v>70</v>
      </c>
      <c r="J4" s="48">
        <v>90</v>
      </c>
      <c r="K4" s="48">
        <v>80</v>
      </c>
      <c r="L4" s="48">
        <v>71</v>
      </c>
      <c r="M4" s="48">
        <v>84</v>
      </c>
      <c r="N4" s="48">
        <v>82</v>
      </c>
      <c r="O4" s="48">
        <v>98</v>
      </c>
      <c r="P4" s="48">
        <f>AVERAGE(E4,G4:O4)</f>
        <v>82.7</v>
      </c>
    </row>
    <row r="5" spans="1:16" s="5" customFormat="1" ht="13.5" customHeight="1" x14ac:dyDescent="0.3">
      <c r="A5" s="22"/>
      <c r="B5" s="17"/>
      <c r="C5" s="2"/>
      <c r="D5" s="4"/>
      <c r="E5" s="30" t="str">
        <f>IF(E4&gt;=90,"A",IF(E4&gt;=80,"B",IF(E4&gt;=70,"C",IF(E4&gt;=60,"D","F"))))</f>
        <v>A</v>
      </c>
      <c r="F5" s="62"/>
      <c r="G5" s="30" t="str">
        <f t="shared" ref="G5:O5" si="0">IF(G4&gt;=90,"A",IF(G4&gt;=80,"B",IF(G4&gt;=70,"C",IF(G4&gt;=60,"D","F"))))</f>
        <v>C</v>
      </c>
      <c r="H5" s="30" t="str">
        <f t="shared" si="0"/>
        <v>B</v>
      </c>
      <c r="I5" s="30" t="str">
        <f t="shared" si="0"/>
        <v>C</v>
      </c>
      <c r="J5" s="30" t="str">
        <f t="shared" si="0"/>
        <v>A</v>
      </c>
      <c r="K5" s="30" t="str">
        <f t="shared" si="0"/>
        <v>B</v>
      </c>
      <c r="L5" s="30" t="str">
        <f t="shared" si="0"/>
        <v>C</v>
      </c>
      <c r="M5" s="30" t="str">
        <f t="shared" si="0"/>
        <v>B</v>
      </c>
      <c r="N5" s="30" t="str">
        <f t="shared" si="0"/>
        <v>B</v>
      </c>
      <c r="O5" s="30" t="str">
        <f t="shared" si="0"/>
        <v>A</v>
      </c>
      <c r="P5" s="48"/>
    </row>
    <row r="6" spans="1:16" s="5" customFormat="1" ht="13.5" customHeight="1" x14ac:dyDescent="0.25">
      <c r="A6" s="22">
        <v>2</v>
      </c>
      <c r="B6" s="15" t="s">
        <v>389</v>
      </c>
      <c r="C6" s="2" t="s">
        <v>777</v>
      </c>
      <c r="D6" s="4" t="s">
        <v>376</v>
      </c>
      <c r="E6" s="48">
        <v>85</v>
      </c>
      <c r="F6" s="48">
        <v>93</v>
      </c>
      <c r="G6" s="48">
        <v>90</v>
      </c>
      <c r="H6" s="48">
        <v>98</v>
      </c>
      <c r="I6" s="48">
        <v>94</v>
      </c>
      <c r="J6" s="48">
        <v>100</v>
      </c>
      <c r="K6" s="48">
        <v>95</v>
      </c>
      <c r="L6" s="48">
        <v>98</v>
      </c>
      <c r="M6" s="48">
        <v>94</v>
      </c>
      <c r="N6" s="48">
        <v>85</v>
      </c>
      <c r="O6" s="48">
        <v>98</v>
      </c>
      <c r="P6" s="58">
        <f>AVERAGE(E6:O6)</f>
        <v>93.63636363636364</v>
      </c>
    </row>
    <row r="7" spans="1:16" s="5" customFormat="1" ht="13.5" customHeight="1" x14ac:dyDescent="0.3">
      <c r="A7" s="22"/>
      <c r="B7" s="15"/>
      <c r="C7" s="2"/>
      <c r="D7" s="4"/>
      <c r="E7" s="30" t="str">
        <f t="shared" ref="E7:O7" si="1">IF(E6&gt;=90,"A",IF(E6&gt;=80,"B",IF(E6&gt;=70,"C",IF(E6&gt;=60,"D","F"))))</f>
        <v>B</v>
      </c>
      <c r="F7" s="30" t="str">
        <f t="shared" si="1"/>
        <v>A</v>
      </c>
      <c r="G7" s="30" t="str">
        <f t="shared" si="1"/>
        <v>A</v>
      </c>
      <c r="H7" s="30" t="str">
        <f t="shared" si="1"/>
        <v>A</v>
      </c>
      <c r="I7" s="30" t="str">
        <f t="shared" si="1"/>
        <v>A</v>
      </c>
      <c r="J7" s="30" t="str">
        <f t="shared" si="1"/>
        <v>A</v>
      </c>
      <c r="K7" s="30" t="str">
        <f t="shared" si="1"/>
        <v>A</v>
      </c>
      <c r="L7" s="30" t="str">
        <f t="shared" si="1"/>
        <v>A</v>
      </c>
      <c r="M7" s="30" t="str">
        <f t="shared" si="1"/>
        <v>A</v>
      </c>
      <c r="N7" s="30" t="str">
        <f t="shared" si="1"/>
        <v>B</v>
      </c>
      <c r="O7" s="30" t="str">
        <f t="shared" si="1"/>
        <v>A</v>
      </c>
      <c r="P7" s="48"/>
    </row>
    <row r="8" spans="1:16" s="5" customFormat="1" ht="13.5" customHeight="1" x14ac:dyDescent="0.25">
      <c r="A8" s="22">
        <v>3</v>
      </c>
      <c r="B8" s="17" t="s">
        <v>42</v>
      </c>
      <c r="C8" s="2" t="s">
        <v>778</v>
      </c>
      <c r="D8" s="4" t="s">
        <v>375</v>
      </c>
      <c r="E8" s="48">
        <v>85</v>
      </c>
      <c r="F8" s="48">
        <v>91</v>
      </c>
      <c r="G8" s="48">
        <v>98</v>
      </c>
      <c r="H8" s="48">
        <v>98</v>
      </c>
      <c r="I8" s="48">
        <v>92</v>
      </c>
      <c r="J8" s="48">
        <v>100</v>
      </c>
      <c r="K8" s="48">
        <v>99</v>
      </c>
      <c r="L8" s="48">
        <v>96</v>
      </c>
      <c r="M8" s="48">
        <v>95</v>
      </c>
      <c r="N8" s="48">
        <v>95</v>
      </c>
      <c r="O8" s="48">
        <v>97</v>
      </c>
      <c r="P8" s="58">
        <f t="shared" ref="P8:P28" si="2">AVERAGE(E8:O8)</f>
        <v>95.090909090909093</v>
      </c>
    </row>
    <row r="9" spans="1:16" s="5" customFormat="1" ht="13.5" customHeight="1" x14ac:dyDescent="0.3">
      <c r="A9" s="22"/>
      <c r="B9" s="17"/>
      <c r="C9" s="2"/>
      <c r="D9" s="4"/>
      <c r="E9" s="30" t="str">
        <f t="shared" ref="E9:O9" si="3">IF(E8&gt;=90,"A",IF(E8&gt;=80,"B",IF(E8&gt;=70,"C",IF(E8&gt;=60,"D","F"))))</f>
        <v>B</v>
      </c>
      <c r="F9" s="30" t="str">
        <f t="shared" si="3"/>
        <v>A</v>
      </c>
      <c r="G9" s="30" t="str">
        <f t="shared" si="3"/>
        <v>A</v>
      </c>
      <c r="H9" s="30" t="str">
        <f t="shared" si="3"/>
        <v>A</v>
      </c>
      <c r="I9" s="30" t="str">
        <f t="shared" si="3"/>
        <v>A</v>
      </c>
      <c r="J9" s="30" t="str">
        <f t="shared" si="3"/>
        <v>A</v>
      </c>
      <c r="K9" s="30" t="str">
        <f t="shared" si="3"/>
        <v>A</v>
      </c>
      <c r="L9" s="30" t="str">
        <f t="shared" si="3"/>
        <v>A</v>
      </c>
      <c r="M9" s="30" t="str">
        <f t="shared" si="3"/>
        <v>A</v>
      </c>
      <c r="N9" s="30" t="str">
        <f t="shared" si="3"/>
        <v>A</v>
      </c>
      <c r="O9" s="30" t="str">
        <f t="shared" si="3"/>
        <v>A</v>
      </c>
      <c r="P9" s="48"/>
    </row>
    <row r="10" spans="1:16" s="5" customFormat="1" ht="13.5" customHeight="1" x14ac:dyDescent="0.25">
      <c r="A10" s="22">
        <v>4</v>
      </c>
      <c r="B10" s="17" t="s">
        <v>43</v>
      </c>
      <c r="C10" s="2" t="s">
        <v>779</v>
      </c>
      <c r="D10" s="4" t="s">
        <v>375</v>
      </c>
      <c r="E10" s="48">
        <v>86</v>
      </c>
      <c r="F10" s="48">
        <v>91</v>
      </c>
      <c r="G10" s="48">
        <v>86</v>
      </c>
      <c r="H10" s="48">
        <v>96</v>
      </c>
      <c r="I10" s="48">
        <v>81</v>
      </c>
      <c r="J10" s="48">
        <v>94</v>
      </c>
      <c r="K10" s="48">
        <v>93</v>
      </c>
      <c r="L10" s="48">
        <v>80</v>
      </c>
      <c r="M10" s="48">
        <v>91</v>
      </c>
      <c r="N10" s="48">
        <v>95</v>
      </c>
      <c r="O10" s="48">
        <v>97</v>
      </c>
      <c r="P10" s="48">
        <f t="shared" si="2"/>
        <v>90</v>
      </c>
    </row>
    <row r="11" spans="1:16" s="5" customFormat="1" ht="13.5" customHeight="1" x14ac:dyDescent="0.3">
      <c r="A11" s="22"/>
      <c r="B11" s="17"/>
      <c r="C11" s="2"/>
      <c r="D11" s="4"/>
      <c r="E11" s="30" t="str">
        <f t="shared" ref="E11:O11" si="4">IF(E10&gt;=90,"A",IF(E10&gt;=80,"B",IF(E10&gt;=70,"C",IF(E10&gt;=60,"D","F"))))</f>
        <v>B</v>
      </c>
      <c r="F11" s="30" t="str">
        <f t="shared" si="4"/>
        <v>A</v>
      </c>
      <c r="G11" s="30" t="str">
        <f t="shared" si="4"/>
        <v>B</v>
      </c>
      <c r="H11" s="30" t="str">
        <f t="shared" si="4"/>
        <v>A</v>
      </c>
      <c r="I11" s="30" t="str">
        <f t="shared" si="4"/>
        <v>B</v>
      </c>
      <c r="J11" s="30" t="str">
        <f t="shared" si="4"/>
        <v>A</v>
      </c>
      <c r="K11" s="30" t="str">
        <f t="shared" si="4"/>
        <v>A</v>
      </c>
      <c r="L11" s="30" t="str">
        <f t="shared" si="4"/>
        <v>B</v>
      </c>
      <c r="M11" s="30" t="str">
        <f t="shared" si="4"/>
        <v>A</v>
      </c>
      <c r="N11" s="30" t="str">
        <f t="shared" si="4"/>
        <v>A</v>
      </c>
      <c r="O11" s="30" t="str">
        <f t="shared" si="4"/>
        <v>A</v>
      </c>
      <c r="P11" s="48"/>
    </row>
    <row r="12" spans="1:16" s="5" customFormat="1" ht="13.5" customHeight="1" x14ac:dyDescent="0.25">
      <c r="A12" s="22">
        <v>5</v>
      </c>
      <c r="B12" s="17" t="s">
        <v>321</v>
      </c>
      <c r="C12" s="2" t="s">
        <v>780</v>
      </c>
      <c r="D12" s="4" t="s">
        <v>376</v>
      </c>
      <c r="E12" s="48">
        <v>84</v>
      </c>
      <c r="F12" s="48">
        <v>85</v>
      </c>
      <c r="G12" s="48">
        <v>74</v>
      </c>
      <c r="H12" s="48">
        <v>91</v>
      </c>
      <c r="I12" s="48">
        <v>71</v>
      </c>
      <c r="J12" s="48">
        <v>76.5</v>
      </c>
      <c r="K12" s="48">
        <v>86</v>
      </c>
      <c r="L12" s="48">
        <v>82</v>
      </c>
      <c r="M12" s="48">
        <v>84</v>
      </c>
      <c r="N12" s="48">
        <v>90</v>
      </c>
      <c r="O12" s="48">
        <v>98</v>
      </c>
      <c r="P12" s="58">
        <f t="shared" si="2"/>
        <v>83.772727272727266</v>
      </c>
    </row>
    <row r="13" spans="1:16" s="5" customFormat="1" ht="13.5" customHeight="1" x14ac:dyDescent="0.3">
      <c r="A13" s="22"/>
      <c r="B13" s="17"/>
      <c r="C13" s="2"/>
      <c r="D13" s="4"/>
      <c r="E13" s="30" t="str">
        <f t="shared" ref="E13:O13" si="5">IF(E12&gt;=90,"A",IF(E12&gt;=80,"B",IF(E12&gt;=70,"C",IF(E12&gt;=60,"D","F"))))</f>
        <v>B</v>
      </c>
      <c r="F13" s="30" t="str">
        <f t="shared" si="5"/>
        <v>B</v>
      </c>
      <c r="G13" s="30" t="str">
        <f t="shared" si="5"/>
        <v>C</v>
      </c>
      <c r="H13" s="30" t="str">
        <f t="shared" si="5"/>
        <v>A</v>
      </c>
      <c r="I13" s="30" t="str">
        <f t="shared" si="5"/>
        <v>C</v>
      </c>
      <c r="J13" s="30" t="str">
        <f t="shared" si="5"/>
        <v>C</v>
      </c>
      <c r="K13" s="30" t="str">
        <f t="shared" si="5"/>
        <v>B</v>
      </c>
      <c r="L13" s="30" t="str">
        <f t="shared" si="5"/>
        <v>B</v>
      </c>
      <c r="M13" s="30" t="str">
        <f t="shared" si="5"/>
        <v>B</v>
      </c>
      <c r="N13" s="30" t="str">
        <f t="shared" si="5"/>
        <v>A</v>
      </c>
      <c r="O13" s="30" t="str">
        <f t="shared" si="5"/>
        <v>A</v>
      </c>
      <c r="P13" s="48"/>
    </row>
    <row r="14" spans="1:16" s="5" customFormat="1" ht="13.5" customHeight="1" x14ac:dyDescent="0.25">
      <c r="A14" s="22">
        <v>6</v>
      </c>
      <c r="B14" s="15" t="s">
        <v>390</v>
      </c>
      <c r="C14" s="2" t="s">
        <v>781</v>
      </c>
      <c r="D14" s="4" t="s">
        <v>376</v>
      </c>
      <c r="E14" s="48">
        <v>85</v>
      </c>
      <c r="F14" s="48">
        <v>76</v>
      </c>
      <c r="G14" s="48">
        <v>86</v>
      </c>
      <c r="H14" s="48">
        <v>85</v>
      </c>
      <c r="I14" s="48">
        <v>71</v>
      </c>
      <c r="J14" s="48">
        <v>85</v>
      </c>
      <c r="K14" s="48">
        <v>77</v>
      </c>
      <c r="L14" s="48">
        <v>80</v>
      </c>
      <c r="M14" s="48">
        <v>84</v>
      </c>
      <c r="N14" s="48">
        <v>94</v>
      </c>
      <c r="O14" s="48">
        <v>98</v>
      </c>
      <c r="P14" s="58">
        <f t="shared" si="2"/>
        <v>83.727272727272734</v>
      </c>
    </row>
    <row r="15" spans="1:16" s="5" customFormat="1" ht="13.5" customHeight="1" x14ac:dyDescent="0.3">
      <c r="A15" s="22"/>
      <c r="B15" s="15"/>
      <c r="C15" s="2"/>
      <c r="D15" s="4"/>
      <c r="E15" s="30" t="str">
        <f t="shared" ref="E15:O15" si="6">IF(E14&gt;=90,"A",IF(E14&gt;=80,"B",IF(E14&gt;=70,"C",IF(E14&gt;=60,"D","F"))))</f>
        <v>B</v>
      </c>
      <c r="F15" s="30" t="str">
        <f t="shared" si="6"/>
        <v>C</v>
      </c>
      <c r="G15" s="30" t="str">
        <f t="shared" si="6"/>
        <v>B</v>
      </c>
      <c r="H15" s="30" t="str">
        <f t="shared" si="6"/>
        <v>B</v>
      </c>
      <c r="I15" s="30" t="str">
        <f t="shared" si="6"/>
        <v>C</v>
      </c>
      <c r="J15" s="30" t="str">
        <f t="shared" si="6"/>
        <v>B</v>
      </c>
      <c r="K15" s="30" t="str">
        <f t="shared" si="6"/>
        <v>C</v>
      </c>
      <c r="L15" s="30" t="str">
        <f t="shared" si="6"/>
        <v>B</v>
      </c>
      <c r="M15" s="30" t="str">
        <f t="shared" si="6"/>
        <v>B</v>
      </c>
      <c r="N15" s="30" t="str">
        <f t="shared" si="6"/>
        <v>A</v>
      </c>
      <c r="O15" s="30" t="str">
        <f t="shared" si="6"/>
        <v>A</v>
      </c>
      <c r="P15" s="48"/>
    </row>
    <row r="16" spans="1:16" s="5" customFormat="1" ht="13.5" customHeight="1" x14ac:dyDescent="0.25">
      <c r="A16" s="22">
        <v>7</v>
      </c>
      <c r="B16" s="17" t="s">
        <v>322</v>
      </c>
      <c r="C16" s="2" t="s">
        <v>782</v>
      </c>
      <c r="D16" s="4" t="s">
        <v>376</v>
      </c>
      <c r="E16" s="48">
        <v>83</v>
      </c>
      <c r="F16" s="48">
        <v>74</v>
      </c>
      <c r="G16" s="48">
        <v>78</v>
      </c>
      <c r="H16" s="48">
        <v>84</v>
      </c>
      <c r="I16" s="48">
        <v>70</v>
      </c>
      <c r="J16" s="48">
        <v>83</v>
      </c>
      <c r="K16" s="48">
        <v>70</v>
      </c>
      <c r="L16" s="48">
        <v>82</v>
      </c>
      <c r="M16" s="48">
        <v>83</v>
      </c>
      <c r="N16" s="48">
        <v>86</v>
      </c>
      <c r="O16" s="48">
        <v>98</v>
      </c>
      <c r="P16" s="48">
        <f t="shared" si="2"/>
        <v>81</v>
      </c>
    </row>
    <row r="17" spans="1:16" s="5" customFormat="1" ht="13.5" customHeight="1" x14ac:dyDescent="0.3">
      <c r="A17" s="22"/>
      <c r="B17" s="17"/>
      <c r="C17" s="2"/>
      <c r="D17" s="4"/>
      <c r="E17" s="30" t="str">
        <f t="shared" ref="E17:O17" si="7">IF(E16&gt;=90,"A",IF(E16&gt;=80,"B",IF(E16&gt;=70,"C",IF(E16&gt;=60,"D","F"))))</f>
        <v>B</v>
      </c>
      <c r="F17" s="30" t="str">
        <f t="shared" si="7"/>
        <v>C</v>
      </c>
      <c r="G17" s="30" t="str">
        <f t="shared" si="7"/>
        <v>C</v>
      </c>
      <c r="H17" s="30" t="str">
        <f t="shared" si="7"/>
        <v>B</v>
      </c>
      <c r="I17" s="30" t="str">
        <f t="shared" si="7"/>
        <v>C</v>
      </c>
      <c r="J17" s="30" t="str">
        <f t="shared" si="7"/>
        <v>B</v>
      </c>
      <c r="K17" s="30" t="str">
        <f t="shared" si="7"/>
        <v>C</v>
      </c>
      <c r="L17" s="30" t="str">
        <f t="shared" si="7"/>
        <v>B</v>
      </c>
      <c r="M17" s="30" t="str">
        <f t="shared" si="7"/>
        <v>B</v>
      </c>
      <c r="N17" s="30" t="str">
        <f t="shared" si="7"/>
        <v>B</v>
      </c>
      <c r="O17" s="30" t="str">
        <f t="shared" si="7"/>
        <v>A</v>
      </c>
      <c r="P17" s="48"/>
    </row>
    <row r="18" spans="1:16" s="5" customFormat="1" ht="13.5" customHeight="1" x14ac:dyDescent="0.25">
      <c r="A18" s="22">
        <v>8</v>
      </c>
      <c r="B18" s="15" t="s">
        <v>354</v>
      </c>
      <c r="C18" s="2" t="s">
        <v>783</v>
      </c>
      <c r="D18" s="4" t="s">
        <v>376</v>
      </c>
      <c r="E18" s="48">
        <v>86</v>
      </c>
      <c r="F18" s="48">
        <v>90</v>
      </c>
      <c r="G18" s="48">
        <v>85</v>
      </c>
      <c r="H18" s="48">
        <v>90</v>
      </c>
      <c r="I18" s="48">
        <v>79</v>
      </c>
      <c r="J18" s="48">
        <v>90</v>
      </c>
      <c r="K18" s="48">
        <v>92</v>
      </c>
      <c r="L18" s="48">
        <v>81</v>
      </c>
      <c r="M18" s="48">
        <v>85</v>
      </c>
      <c r="N18" s="48">
        <v>92</v>
      </c>
      <c r="O18" s="48">
        <v>98</v>
      </c>
      <c r="P18" s="48">
        <f t="shared" si="2"/>
        <v>88</v>
      </c>
    </row>
    <row r="19" spans="1:16" s="5" customFormat="1" ht="13.5" customHeight="1" x14ac:dyDescent="0.3">
      <c r="A19" s="22"/>
      <c r="B19" s="15"/>
      <c r="C19" s="2"/>
      <c r="D19" s="4"/>
      <c r="E19" s="30" t="str">
        <f t="shared" ref="E19:O19" si="8">IF(E18&gt;=90,"A",IF(E18&gt;=80,"B",IF(E18&gt;=70,"C",IF(E18&gt;=60,"D","F"))))</f>
        <v>B</v>
      </c>
      <c r="F19" s="30" t="str">
        <f t="shared" si="8"/>
        <v>A</v>
      </c>
      <c r="G19" s="30" t="str">
        <f t="shared" si="8"/>
        <v>B</v>
      </c>
      <c r="H19" s="30" t="str">
        <f t="shared" si="8"/>
        <v>A</v>
      </c>
      <c r="I19" s="30" t="str">
        <f t="shared" si="8"/>
        <v>C</v>
      </c>
      <c r="J19" s="30" t="str">
        <f t="shared" si="8"/>
        <v>A</v>
      </c>
      <c r="K19" s="30" t="str">
        <f t="shared" si="8"/>
        <v>A</v>
      </c>
      <c r="L19" s="30" t="str">
        <f t="shared" si="8"/>
        <v>B</v>
      </c>
      <c r="M19" s="30" t="str">
        <f t="shared" si="8"/>
        <v>B</v>
      </c>
      <c r="N19" s="30" t="str">
        <f t="shared" si="8"/>
        <v>A</v>
      </c>
      <c r="O19" s="30" t="str">
        <f t="shared" si="8"/>
        <v>A</v>
      </c>
      <c r="P19" s="48"/>
    </row>
    <row r="20" spans="1:16" s="5" customFormat="1" ht="13.5" customHeight="1" x14ac:dyDescent="0.25">
      <c r="A20" s="22">
        <v>9</v>
      </c>
      <c r="B20" s="17" t="s">
        <v>323</v>
      </c>
      <c r="C20" s="2" t="s">
        <v>784</v>
      </c>
      <c r="D20" s="4" t="s">
        <v>375</v>
      </c>
      <c r="E20" s="48">
        <v>73</v>
      </c>
      <c r="F20" s="48">
        <v>66</v>
      </c>
      <c r="G20" s="48">
        <v>72</v>
      </c>
      <c r="H20" s="48">
        <v>80</v>
      </c>
      <c r="I20" s="48">
        <v>66</v>
      </c>
      <c r="J20" s="48">
        <v>71</v>
      </c>
      <c r="K20" s="48">
        <v>74</v>
      </c>
      <c r="L20" s="48">
        <v>74</v>
      </c>
      <c r="M20" s="48">
        <v>81</v>
      </c>
      <c r="N20" s="48">
        <v>92</v>
      </c>
      <c r="O20" s="48">
        <v>97</v>
      </c>
      <c r="P20" s="58">
        <f t="shared" si="2"/>
        <v>76.909090909090907</v>
      </c>
    </row>
    <row r="21" spans="1:16" s="5" customFormat="1" ht="13.5" customHeight="1" x14ac:dyDescent="0.3">
      <c r="A21" s="22"/>
      <c r="B21" s="17"/>
      <c r="C21" s="2"/>
      <c r="D21" s="4"/>
      <c r="E21" s="30" t="str">
        <f t="shared" ref="E21:O21" si="9">IF(E20&gt;=90,"A",IF(E20&gt;=80,"B",IF(E20&gt;=70,"C",IF(E20&gt;=60,"D","F"))))</f>
        <v>C</v>
      </c>
      <c r="F21" s="30" t="str">
        <f t="shared" si="9"/>
        <v>D</v>
      </c>
      <c r="G21" s="30" t="str">
        <f t="shared" si="9"/>
        <v>C</v>
      </c>
      <c r="H21" s="30" t="str">
        <f t="shared" si="9"/>
        <v>B</v>
      </c>
      <c r="I21" s="30" t="str">
        <f t="shared" si="9"/>
        <v>D</v>
      </c>
      <c r="J21" s="30" t="str">
        <f t="shared" si="9"/>
        <v>C</v>
      </c>
      <c r="K21" s="30" t="str">
        <f t="shared" si="9"/>
        <v>C</v>
      </c>
      <c r="L21" s="30" t="str">
        <f t="shared" si="9"/>
        <v>C</v>
      </c>
      <c r="M21" s="30" t="str">
        <f t="shared" si="9"/>
        <v>B</v>
      </c>
      <c r="N21" s="30" t="str">
        <f t="shared" si="9"/>
        <v>A</v>
      </c>
      <c r="O21" s="30" t="str">
        <f t="shared" si="9"/>
        <v>A</v>
      </c>
      <c r="P21" s="48"/>
    </row>
    <row r="22" spans="1:16" s="5" customFormat="1" ht="13.5" customHeight="1" x14ac:dyDescent="0.25">
      <c r="A22" s="22">
        <v>10</v>
      </c>
      <c r="B22" s="15" t="s">
        <v>408</v>
      </c>
      <c r="C22" s="2" t="s">
        <v>785</v>
      </c>
      <c r="D22" s="4" t="s">
        <v>376</v>
      </c>
      <c r="E22" s="22">
        <v>87</v>
      </c>
      <c r="F22" s="48">
        <v>86</v>
      </c>
      <c r="G22" s="48">
        <v>87</v>
      </c>
      <c r="H22" s="48">
        <v>90</v>
      </c>
      <c r="I22" s="48">
        <v>88</v>
      </c>
      <c r="J22" s="48">
        <v>91</v>
      </c>
      <c r="K22" s="48">
        <v>87</v>
      </c>
      <c r="L22" s="48">
        <v>90</v>
      </c>
      <c r="M22" s="48">
        <v>91</v>
      </c>
      <c r="N22" s="48">
        <v>89</v>
      </c>
      <c r="O22" s="48">
        <v>97</v>
      </c>
      <c r="P22" s="58">
        <f t="shared" si="2"/>
        <v>89.36363636363636</v>
      </c>
    </row>
    <row r="23" spans="1:16" s="5" customFormat="1" ht="13.5" customHeight="1" x14ac:dyDescent="0.3">
      <c r="A23" s="22"/>
      <c r="B23" s="15"/>
      <c r="C23" s="2"/>
      <c r="D23" s="4"/>
      <c r="E23" s="30" t="str">
        <f t="shared" ref="E23:O23" si="10">IF(E22&gt;=90,"A",IF(E22&gt;=80,"B",IF(E22&gt;=70,"C",IF(E22&gt;=60,"D","F"))))</f>
        <v>B</v>
      </c>
      <c r="F23" s="30" t="str">
        <f t="shared" si="10"/>
        <v>B</v>
      </c>
      <c r="G23" s="30" t="str">
        <f t="shared" si="10"/>
        <v>B</v>
      </c>
      <c r="H23" s="30" t="str">
        <f t="shared" si="10"/>
        <v>A</v>
      </c>
      <c r="I23" s="30" t="str">
        <f t="shared" si="10"/>
        <v>B</v>
      </c>
      <c r="J23" s="30" t="str">
        <f t="shared" si="10"/>
        <v>A</v>
      </c>
      <c r="K23" s="30" t="str">
        <f t="shared" si="10"/>
        <v>B</v>
      </c>
      <c r="L23" s="30" t="str">
        <f t="shared" si="10"/>
        <v>A</v>
      </c>
      <c r="M23" s="30" t="str">
        <f t="shared" si="10"/>
        <v>A</v>
      </c>
      <c r="N23" s="30" t="str">
        <f t="shared" si="10"/>
        <v>B</v>
      </c>
      <c r="O23" s="30" t="str">
        <f t="shared" si="10"/>
        <v>A</v>
      </c>
      <c r="P23" s="48"/>
    </row>
    <row r="24" spans="1:16" s="5" customFormat="1" ht="13.5" customHeight="1" x14ac:dyDescent="0.25">
      <c r="A24" s="22">
        <v>11</v>
      </c>
      <c r="B24" s="17" t="s">
        <v>407</v>
      </c>
      <c r="C24" s="2" t="s">
        <v>786</v>
      </c>
      <c r="D24" s="4" t="s">
        <v>376</v>
      </c>
      <c r="E24" s="48">
        <v>75</v>
      </c>
      <c r="F24" s="48">
        <v>92</v>
      </c>
      <c r="G24" s="48">
        <v>79</v>
      </c>
      <c r="H24" s="48">
        <v>90</v>
      </c>
      <c r="I24" s="48">
        <v>70</v>
      </c>
      <c r="J24" s="48">
        <v>89</v>
      </c>
      <c r="K24" s="48">
        <v>86</v>
      </c>
      <c r="L24" s="48">
        <v>75</v>
      </c>
      <c r="M24" s="48">
        <v>93</v>
      </c>
      <c r="N24" s="48">
        <v>91</v>
      </c>
      <c r="O24" s="48">
        <v>97</v>
      </c>
      <c r="P24" s="58">
        <f t="shared" si="2"/>
        <v>85.181818181818187</v>
      </c>
    </row>
    <row r="25" spans="1:16" s="5" customFormat="1" ht="13.5" customHeight="1" x14ac:dyDescent="0.3">
      <c r="A25" s="22"/>
      <c r="B25" s="17"/>
      <c r="C25" s="2"/>
      <c r="D25" s="4"/>
      <c r="E25" s="30" t="str">
        <f t="shared" ref="E25:O25" si="11">IF(E24&gt;=90,"A",IF(E24&gt;=80,"B",IF(E24&gt;=70,"C",IF(E24&gt;=60,"D","F"))))</f>
        <v>C</v>
      </c>
      <c r="F25" s="30" t="str">
        <f t="shared" si="11"/>
        <v>A</v>
      </c>
      <c r="G25" s="30" t="str">
        <f t="shared" si="11"/>
        <v>C</v>
      </c>
      <c r="H25" s="30" t="str">
        <f t="shared" si="11"/>
        <v>A</v>
      </c>
      <c r="I25" s="30" t="str">
        <f t="shared" si="11"/>
        <v>C</v>
      </c>
      <c r="J25" s="30" t="str">
        <f t="shared" si="11"/>
        <v>B</v>
      </c>
      <c r="K25" s="30" t="str">
        <f t="shared" si="11"/>
        <v>B</v>
      </c>
      <c r="L25" s="30" t="str">
        <f t="shared" si="11"/>
        <v>C</v>
      </c>
      <c r="M25" s="30" t="str">
        <f t="shared" si="11"/>
        <v>A</v>
      </c>
      <c r="N25" s="30" t="str">
        <f t="shared" si="11"/>
        <v>A</v>
      </c>
      <c r="O25" s="30" t="str">
        <f t="shared" si="11"/>
        <v>A</v>
      </c>
      <c r="P25" s="48"/>
    </row>
    <row r="26" spans="1:16" s="5" customFormat="1" ht="13.5" customHeight="1" x14ac:dyDescent="0.25">
      <c r="A26" s="22">
        <v>12</v>
      </c>
      <c r="B26" s="17" t="s">
        <v>44</v>
      </c>
      <c r="C26" s="2" t="s">
        <v>787</v>
      </c>
      <c r="D26" s="4" t="s">
        <v>375</v>
      </c>
      <c r="E26" s="48">
        <v>67</v>
      </c>
      <c r="F26" s="48">
        <v>73</v>
      </c>
      <c r="G26" s="48">
        <v>80</v>
      </c>
      <c r="H26" s="48">
        <v>84</v>
      </c>
      <c r="I26" s="48">
        <v>64</v>
      </c>
      <c r="J26" s="48">
        <v>70</v>
      </c>
      <c r="K26" s="48">
        <v>70</v>
      </c>
      <c r="L26" s="48">
        <v>80</v>
      </c>
      <c r="M26" s="48">
        <v>84</v>
      </c>
      <c r="N26" s="48">
        <v>75</v>
      </c>
      <c r="O26" s="48">
        <v>99</v>
      </c>
      <c r="P26" s="58">
        <f t="shared" si="2"/>
        <v>76.909090909090907</v>
      </c>
    </row>
    <row r="27" spans="1:16" s="5" customFormat="1" ht="13.5" customHeight="1" x14ac:dyDescent="0.3">
      <c r="A27" s="22"/>
      <c r="B27" s="17"/>
      <c r="C27" s="2"/>
      <c r="D27" s="4"/>
      <c r="E27" s="30" t="str">
        <f t="shared" ref="E27:O27" si="12">IF(E26&gt;=90,"A",IF(E26&gt;=80,"B",IF(E26&gt;=70,"C",IF(E26&gt;=60,"D","F"))))</f>
        <v>D</v>
      </c>
      <c r="F27" s="30" t="str">
        <f t="shared" si="12"/>
        <v>C</v>
      </c>
      <c r="G27" s="30" t="str">
        <f t="shared" si="12"/>
        <v>B</v>
      </c>
      <c r="H27" s="30" t="str">
        <f t="shared" si="12"/>
        <v>B</v>
      </c>
      <c r="I27" s="30" t="str">
        <f t="shared" si="12"/>
        <v>D</v>
      </c>
      <c r="J27" s="30" t="str">
        <f t="shared" si="12"/>
        <v>C</v>
      </c>
      <c r="K27" s="30" t="str">
        <f t="shared" si="12"/>
        <v>C</v>
      </c>
      <c r="L27" s="30" t="str">
        <f t="shared" si="12"/>
        <v>B</v>
      </c>
      <c r="M27" s="30" t="str">
        <f t="shared" si="12"/>
        <v>B</v>
      </c>
      <c r="N27" s="30" t="str">
        <f t="shared" si="12"/>
        <v>C</v>
      </c>
      <c r="O27" s="30" t="str">
        <f t="shared" si="12"/>
        <v>A</v>
      </c>
      <c r="P27" s="48"/>
    </row>
    <row r="28" spans="1:16" s="5" customFormat="1" ht="13.5" customHeight="1" x14ac:dyDescent="0.25">
      <c r="A28" s="14">
        <v>13</v>
      </c>
      <c r="B28" s="17" t="s">
        <v>324</v>
      </c>
      <c r="C28" s="2" t="s">
        <v>788</v>
      </c>
      <c r="D28" s="4" t="s">
        <v>376</v>
      </c>
      <c r="E28" s="48">
        <v>96</v>
      </c>
      <c r="F28" s="48">
        <v>91</v>
      </c>
      <c r="G28" s="48">
        <v>93</v>
      </c>
      <c r="H28" s="48">
        <v>98</v>
      </c>
      <c r="I28" s="48">
        <v>90</v>
      </c>
      <c r="J28" s="48">
        <v>100</v>
      </c>
      <c r="K28" s="48">
        <v>95</v>
      </c>
      <c r="L28" s="48">
        <v>90</v>
      </c>
      <c r="M28" s="48">
        <v>93</v>
      </c>
      <c r="N28" s="48">
        <v>96</v>
      </c>
      <c r="O28" s="48">
        <v>95</v>
      </c>
      <c r="P28" s="58">
        <f t="shared" si="2"/>
        <v>94.272727272727266</v>
      </c>
    </row>
    <row r="29" spans="1:16" ht="15.75" x14ac:dyDescent="0.3">
      <c r="A29" s="25"/>
      <c r="B29" s="20"/>
      <c r="C29" s="20"/>
      <c r="D29" s="6"/>
      <c r="E29" s="30" t="str">
        <f t="shared" ref="E29:O29" si="13">IF(E28&gt;=90,"A",IF(E28&gt;=80,"B",IF(E28&gt;=70,"C",IF(E28&gt;=60,"D","F"))))</f>
        <v>A</v>
      </c>
      <c r="F29" s="30" t="str">
        <f t="shared" si="13"/>
        <v>A</v>
      </c>
      <c r="G29" s="30" t="str">
        <f t="shared" si="13"/>
        <v>A</v>
      </c>
      <c r="H29" s="30" t="str">
        <f t="shared" si="13"/>
        <v>A</v>
      </c>
      <c r="I29" s="30" t="str">
        <f t="shared" si="13"/>
        <v>A</v>
      </c>
      <c r="J29" s="30" t="str">
        <f t="shared" si="13"/>
        <v>A</v>
      </c>
      <c r="K29" s="30" t="str">
        <f t="shared" si="13"/>
        <v>A</v>
      </c>
      <c r="L29" s="30" t="str">
        <f t="shared" si="13"/>
        <v>A</v>
      </c>
      <c r="M29" s="30" t="str">
        <f t="shared" si="13"/>
        <v>A</v>
      </c>
      <c r="N29" s="30" t="str">
        <f t="shared" si="13"/>
        <v>A</v>
      </c>
      <c r="O29" s="30" t="str">
        <f t="shared" si="13"/>
        <v>A</v>
      </c>
      <c r="P29" s="48"/>
    </row>
  </sheetData>
  <sheetProtection formatCells="0" formatColumns="0" formatRows="0" insertColumns="0" insertRows="0" insertHyperlinks="0" deleteColumns="0" deleteRows="0" sort="0" autoFilter="0" pivotTables="0"/>
  <autoFilter ref="A1:D28" xr:uid="{00000000-0009-0000-0000-000020000000}">
    <filterColumn colId="0" showButton="0"/>
  </autoFilter>
  <mergeCells count="1">
    <mergeCell ref="A1:B2"/>
  </mergeCells>
  <pageMargins left="0.23" right="0.17" top="0.83" bottom="0" header="0.17" footer="0.3"/>
  <pageSetup paperSize="9" orientation="landscape" r:id="rId1"/>
  <headerFooter>
    <oddFooter xml:space="preserve">&amp;C
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26"/>
  <sheetViews>
    <sheetView zoomScaleNormal="100" workbookViewId="0">
      <selection activeCell="M3" sqref="M3"/>
    </sheetView>
  </sheetViews>
  <sheetFormatPr defaultRowHeight="15" x14ac:dyDescent="0.25"/>
  <cols>
    <col min="1" max="1" width="5.28515625" style="13" customWidth="1"/>
    <col min="2" max="2" width="20.5703125" style="28" customWidth="1"/>
    <col min="3" max="3" width="11.140625" style="28" bestFit="1" customWidth="1"/>
    <col min="4" max="4" width="6" style="7" customWidth="1"/>
    <col min="5" max="6" width="10.28515625" style="46" customWidth="1"/>
    <col min="7" max="7" width="12.5703125" style="46" bestFit="1" customWidth="1"/>
    <col min="8" max="8" width="11.28515625" style="46" customWidth="1"/>
    <col min="9" max="9" width="11.7109375" style="46" customWidth="1"/>
    <col min="10" max="10" width="8.5703125" style="46" customWidth="1"/>
    <col min="11" max="12" width="10.28515625" style="46" customWidth="1"/>
    <col min="13" max="13" width="9.28515625" style="46" customWidth="1"/>
    <col min="14" max="14" width="10.28515625" style="46" customWidth="1"/>
    <col min="15" max="16384" width="9.140625" style="2"/>
  </cols>
  <sheetData>
    <row r="1" spans="1:15" ht="6" customHeight="1" x14ac:dyDescent="0.25">
      <c r="A1" s="85" t="s">
        <v>826</v>
      </c>
      <c r="B1" s="86"/>
      <c r="C1" s="80"/>
    </row>
    <row r="2" spans="1:15" ht="10.5" customHeight="1" x14ac:dyDescent="0.25">
      <c r="A2" s="87"/>
      <c r="B2" s="88"/>
      <c r="C2" s="80"/>
    </row>
    <row r="3" spans="1:15" s="75" customFormat="1" ht="25.5" customHeight="1" x14ac:dyDescent="0.25">
      <c r="A3" s="68" t="s">
        <v>0</v>
      </c>
      <c r="B3" s="69" t="s">
        <v>1</v>
      </c>
      <c r="C3" s="69"/>
      <c r="D3" s="70" t="s">
        <v>2</v>
      </c>
      <c r="E3" s="71" t="s">
        <v>426</v>
      </c>
      <c r="F3" s="71" t="s">
        <v>427</v>
      </c>
      <c r="G3" s="71" t="s">
        <v>456</v>
      </c>
      <c r="H3" s="71" t="s">
        <v>443</v>
      </c>
      <c r="I3" s="71" t="s">
        <v>444</v>
      </c>
      <c r="J3" s="71" t="s">
        <v>437</v>
      </c>
      <c r="K3" s="71" t="s">
        <v>446</v>
      </c>
      <c r="L3" s="71" t="s">
        <v>447</v>
      </c>
      <c r="M3" s="71" t="s">
        <v>445</v>
      </c>
      <c r="N3" s="71" t="s">
        <v>438</v>
      </c>
      <c r="O3" s="73" t="s">
        <v>428</v>
      </c>
    </row>
    <row r="4" spans="1:15" s="5" customFormat="1" ht="13.5" customHeight="1" x14ac:dyDescent="0.25">
      <c r="A4" s="22">
        <v>1</v>
      </c>
      <c r="B4" s="17" t="s">
        <v>394</v>
      </c>
      <c r="C4" s="2" t="s">
        <v>817</v>
      </c>
      <c r="D4" s="22" t="s">
        <v>375</v>
      </c>
      <c r="E4" s="48">
        <v>90</v>
      </c>
      <c r="F4" s="48">
        <v>64</v>
      </c>
      <c r="G4" s="48">
        <v>89</v>
      </c>
      <c r="H4" s="48">
        <v>93.5</v>
      </c>
      <c r="I4" s="48">
        <v>81</v>
      </c>
      <c r="J4" s="48">
        <v>80</v>
      </c>
      <c r="K4" s="48">
        <v>78</v>
      </c>
      <c r="L4" s="48">
        <v>80</v>
      </c>
      <c r="M4" s="48">
        <v>94</v>
      </c>
      <c r="N4" s="48">
        <v>93</v>
      </c>
      <c r="O4" s="48">
        <f>AVERAGE(E4:N4)</f>
        <v>84.25</v>
      </c>
    </row>
    <row r="5" spans="1:15" s="5" customFormat="1" ht="13.5" customHeight="1" x14ac:dyDescent="0.3">
      <c r="A5" s="22"/>
      <c r="B5" s="17"/>
      <c r="C5" s="2"/>
      <c r="D5" s="22"/>
      <c r="E5" s="30" t="str">
        <f t="shared" ref="E5:N5" si="0">IF(E4&gt;=90,"A",IF(E4&gt;=80,"B",IF(E4&gt;=70,"C",IF(E4&gt;=60,"D","F"))))</f>
        <v>A</v>
      </c>
      <c r="F5" s="30" t="str">
        <f t="shared" si="0"/>
        <v>D</v>
      </c>
      <c r="G5" s="30" t="str">
        <f t="shared" si="0"/>
        <v>B</v>
      </c>
      <c r="H5" s="30" t="str">
        <f t="shared" si="0"/>
        <v>A</v>
      </c>
      <c r="I5" s="30" t="str">
        <f t="shared" si="0"/>
        <v>B</v>
      </c>
      <c r="J5" s="30" t="str">
        <f t="shared" si="0"/>
        <v>B</v>
      </c>
      <c r="K5" s="30" t="str">
        <f t="shared" si="0"/>
        <v>C</v>
      </c>
      <c r="L5" s="30" t="str">
        <f t="shared" si="0"/>
        <v>B</v>
      </c>
      <c r="M5" s="30" t="str">
        <f t="shared" si="0"/>
        <v>A</v>
      </c>
      <c r="N5" s="30" t="str">
        <f t="shared" si="0"/>
        <v>A</v>
      </c>
      <c r="O5" s="48"/>
    </row>
    <row r="6" spans="1:15" s="5" customFormat="1" ht="13.5" customHeight="1" x14ac:dyDescent="0.25">
      <c r="A6" s="22">
        <v>2</v>
      </c>
      <c r="B6" s="17" t="s">
        <v>325</v>
      </c>
      <c r="C6" s="2" t="s">
        <v>818</v>
      </c>
      <c r="D6" s="22" t="s">
        <v>375</v>
      </c>
      <c r="E6" s="48">
        <v>84</v>
      </c>
      <c r="F6" s="48">
        <v>47</v>
      </c>
      <c r="G6" s="48">
        <v>70</v>
      </c>
      <c r="H6" s="48">
        <v>94</v>
      </c>
      <c r="I6" s="48">
        <v>86</v>
      </c>
      <c r="J6" s="48">
        <v>88</v>
      </c>
      <c r="K6" s="48">
        <v>73</v>
      </c>
      <c r="L6" s="48">
        <v>77</v>
      </c>
      <c r="M6" s="48">
        <v>91</v>
      </c>
      <c r="N6" s="48">
        <v>94</v>
      </c>
      <c r="O6" s="48">
        <f t="shared" ref="O6:O20" si="1">AVERAGE(E6:N6)</f>
        <v>80.400000000000006</v>
      </c>
    </row>
    <row r="7" spans="1:15" s="5" customFormat="1" ht="13.5" customHeight="1" x14ac:dyDescent="0.3">
      <c r="A7" s="22"/>
      <c r="B7" s="17"/>
      <c r="C7" s="2"/>
      <c r="D7" s="22"/>
      <c r="E7" s="30" t="str">
        <f t="shared" ref="E7:N7" si="2">IF(E6&gt;=90,"A",IF(E6&gt;=80,"B",IF(E6&gt;=70,"C",IF(E6&gt;=60,"D","F"))))</f>
        <v>B</v>
      </c>
      <c r="F7" s="30" t="str">
        <f t="shared" si="2"/>
        <v>F</v>
      </c>
      <c r="G7" s="30" t="str">
        <f t="shared" si="2"/>
        <v>C</v>
      </c>
      <c r="H7" s="30" t="str">
        <f t="shared" si="2"/>
        <v>A</v>
      </c>
      <c r="I7" s="30" t="str">
        <f t="shared" si="2"/>
        <v>B</v>
      </c>
      <c r="J7" s="30" t="str">
        <f t="shared" si="2"/>
        <v>B</v>
      </c>
      <c r="K7" s="30" t="str">
        <f t="shared" si="2"/>
        <v>C</v>
      </c>
      <c r="L7" s="30" t="str">
        <f t="shared" si="2"/>
        <v>C</v>
      </c>
      <c r="M7" s="30" t="str">
        <f t="shared" si="2"/>
        <v>A</v>
      </c>
      <c r="N7" s="30" t="str">
        <f t="shared" si="2"/>
        <v>A</v>
      </c>
      <c r="O7" s="48"/>
    </row>
    <row r="8" spans="1:15" s="5" customFormat="1" ht="13.5" customHeight="1" x14ac:dyDescent="0.25">
      <c r="A8" s="22">
        <v>3</v>
      </c>
      <c r="B8" s="17" t="s">
        <v>330</v>
      </c>
      <c r="C8" s="2" t="s">
        <v>819</v>
      </c>
      <c r="D8" s="22" t="s">
        <v>376</v>
      </c>
      <c r="E8" s="48">
        <v>93</v>
      </c>
      <c r="F8" s="48">
        <v>87</v>
      </c>
      <c r="G8" s="48">
        <v>96</v>
      </c>
      <c r="H8" s="48">
        <v>100</v>
      </c>
      <c r="I8" s="48">
        <v>93</v>
      </c>
      <c r="J8" s="48">
        <v>97</v>
      </c>
      <c r="K8" s="48">
        <v>98</v>
      </c>
      <c r="L8" s="48">
        <v>96</v>
      </c>
      <c r="M8" s="48">
        <v>96</v>
      </c>
      <c r="N8" s="48">
        <v>91</v>
      </c>
      <c r="O8" s="48">
        <f t="shared" si="1"/>
        <v>94.7</v>
      </c>
    </row>
    <row r="9" spans="1:15" s="5" customFormat="1" ht="13.5" customHeight="1" x14ac:dyDescent="0.3">
      <c r="A9" s="22"/>
      <c r="B9" s="17"/>
      <c r="C9" s="2"/>
      <c r="D9" s="22"/>
      <c r="E9" s="30" t="str">
        <f t="shared" ref="E9:N9" si="3">IF(E8&gt;=90,"A",IF(E8&gt;=80,"B",IF(E8&gt;=70,"C",IF(E8&gt;=60,"D","F"))))</f>
        <v>A</v>
      </c>
      <c r="F9" s="30" t="str">
        <f t="shared" si="3"/>
        <v>B</v>
      </c>
      <c r="G9" s="30" t="str">
        <f t="shared" si="3"/>
        <v>A</v>
      </c>
      <c r="H9" s="30" t="str">
        <f t="shared" si="3"/>
        <v>A</v>
      </c>
      <c r="I9" s="30" t="str">
        <f t="shared" si="3"/>
        <v>A</v>
      </c>
      <c r="J9" s="30" t="str">
        <f t="shared" si="3"/>
        <v>A</v>
      </c>
      <c r="K9" s="30" t="str">
        <f t="shared" si="3"/>
        <v>A</v>
      </c>
      <c r="L9" s="30" t="str">
        <f t="shared" si="3"/>
        <v>A</v>
      </c>
      <c r="M9" s="30" t="str">
        <f t="shared" si="3"/>
        <v>A</v>
      </c>
      <c r="N9" s="30" t="str">
        <f t="shared" si="3"/>
        <v>A</v>
      </c>
      <c r="O9" s="48"/>
    </row>
    <row r="10" spans="1:15" s="5" customFormat="1" ht="13.5" customHeight="1" x14ac:dyDescent="0.25">
      <c r="A10" s="22">
        <v>4</v>
      </c>
      <c r="B10" s="17" t="s">
        <v>45</v>
      </c>
      <c r="C10" s="2" t="s">
        <v>820</v>
      </c>
      <c r="D10" s="22" t="s">
        <v>376</v>
      </c>
      <c r="E10" s="48">
        <v>65</v>
      </c>
      <c r="F10" s="48">
        <v>93</v>
      </c>
      <c r="G10" s="48">
        <v>75</v>
      </c>
      <c r="H10" s="48">
        <v>90</v>
      </c>
      <c r="I10" s="48">
        <v>70</v>
      </c>
      <c r="J10" s="48">
        <v>88</v>
      </c>
      <c r="K10" s="48">
        <v>67</v>
      </c>
      <c r="L10" s="48">
        <v>74</v>
      </c>
      <c r="M10" s="48">
        <v>93</v>
      </c>
      <c r="N10" s="48">
        <v>91</v>
      </c>
      <c r="O10" s="48">
        <f t="shared" si="1"/>
        <v>80.599999999999994</v>
      </c>
    </row>
    <row r="11" spans="1:15" s="5" customFormat="1" ht="13.5" customHeight="1" x14ac:dyDescent="0.3">
      <c r="A11" s="22"/>
      <c r="B11" s="17"/>
      <c r="C11" s="2"/>
      <c r="D11" s="22"/>
      <c r="E11" s="30" t="str">
        <f t="shared" ref="E11:N11" si="4">IF(E10&gt;=90,"A",IF(E10&gt;=80,"B",IF(E10&gt;=70,"C",IF(E10&gt;=60,"D","F"))))</f>
        <v>D</v>
      </c>
      <c r="F11" s="30" t="str">
        <f t="shared" si="4"/>
        <v>A</v>
      </c>
      <c r="G11" s="30" t="str">
        <f t="shared" si="4"/>
        <v>C</v>
      </c>
      <c r="H11" s="30" t="str">
        <f t="shared" si="4"/>
        <v>A</v>
      </c>
      <c r="I11" s="30" t="str">
        <f t="shared" si="4"/>
        <v>C</v>
      </c>
      <c r="J11" s="30" t="str">
        <f t="shared" si="4"/>
        <v>B</v>
      </c>
      <c r="K11" s="30" t="str">
        <f t="shared" si="4"/>
        <v>D</v>
      </c>
      <c r="L11" s="30" t="str">
        <f t="shared" si="4"/>
        <v>C</v>
      </c>
      <c r="M11" s="30" t="str">
        <f t="shared" si="4"/>
        <v>A</v>
      </c>
      <c r="N11" s="30" t="str">
        <f t="shared" si="4"/>
        <v>A</v>
      </c>
      <c r="O11" s="48"/>
    </row>
    <row r="12" spans="1:15" s="5" customFormat="1" ht="13.5" customHeight="1" x14ac:dyDescent="0.25">
      <c r="A12" s="22">
        <v>5</v>
      </c>
      <c r="B12" s="17" t="s">
        <v>332</v>
      </c>
      <c r="C12" s="2" t="s">
        <v>821</v>
      </c>
      <c r="D12" s="22" t="s">
        <v>375</v>
      </c>
      <c r="E12" s="48">
        <v>80</v>
      </c>
      <c r="F12" s="48">
        <v>84</v>
      </c>
      <c r="G12" s="48">
        <v>83</v>
      </c>
      <c r="H12" s="48">
        <v>86</v>
      </c>
      <c r="I12" s="48">
        <v>70</v>
      </c>
      <c r="J12" s="48">
        <v>81</v>
      </c>
      <c r="K12" s="48">
        <v>75</v>
      </c>
      <c r="L12" s="48">
        <v>91</v>
      </c>
      <c r="M12" s="48">
        <v>97</v>
      </c>
      <c r="N12" s="48">
        <v>92</v>
      </c>
      <c r="O12" s="48">
        <f t="shared" si="1"/>
        <v>83.9</v>
      </c>
    </row>
    <row r="13" spans="1:15" s="5" customFormat="1" ht="13.5" customHeight="1" x14ac:dyDescent="0.3">
      <c r="A13" s="22"/>
      <c r="B13" s="17"/>
      <c r="C13" s="2"/>
      <c r="D13" s="22"/>
      <c r="E13" s="30" t="str">
        <f t="shared" ref="E13:N13" si="5">IF(E12&gt;=90,"A",IF(E12&gt;=80,"B",IF(E12&gt;=70,"C",IF(E12&gt;=60,"D","F"))))</f>
        <v>B</v>
      </c>
      <c r="F13" s="30" t="str">
        <f t="shared" si="5"/>
        <v>B</v>
      </c>
      <c r="G13" s="30" t="str">
        <f t="shared" si="5"/>
        <v>B</v>
      </c>
      <c r="H13" s="30" t="str">
        <f t="shared" si="5"/>
        <v>B</v>
      </c>
      <c r="I13" s="30" t="str">
        <f t="shared" si="5"/>
        <v>C</v>
      </c>
      <c r="J13" s="30" t="str">
        <f t="shared" si="5"/>
        <v>B</v>
      </c>
      <c r="K13" s="30" t="str">
        <f t="shared" si="5"/>
        <v>C</v>
      </c>
      <c r="L13" s="30" t="str">
        <f t="shared" si="5"/>
        <v>A</v>
      </c>
      <c r="M13" s="30" t="str">
        <f t="shared" si="5"/>
        <v>A</v>
      </c>
      <c r="N13" s="30" t="str">
        <f t="shared" si="5"/>
        <v>A</v>
      </c>
      <c r="O13" s="48"/>
    </row>
    <row r="14" spans="1:15" s="5" customFormat="1" ht="13.5" customHeight="1" x14ac:dyDescent="0.25">
      <c r="A14" s="22">
        <v>6</v>
      </c>
      <c r="B14" s="17" t="s">
        <v>333</v>
      </c>
      <c r="C14" s="2" t="s">
        <v>822</v>
      </c>
      <c r="D14" s="22" t="s">
        <v>376</v>
      </c>
      <c r="E14" s="48">
        <v>91</v>
      </c>
      <c r="F14" s="48">
        <v>73</v>
      </c>
      <c r="G14" s="48">
        <v>86</v>
      </c>
      <c r="H14" s="48">
        <v>99</v>
      </c>
      <c r="I14" s="48">
        <v>80</v>
      </c>
      <c r="J14" s="48">
        <v>92</v>
      </c>
      <c r="K14" s="48">
        <v>93</v>
      </c>
      <c r="L14" s="48">
        <v>92</v>
      </c>
      <c r="M14" s="48">
        <v>95</v>
      </c>
      <c r="N14" s="48">
        <v>92</v>
      </c>
      <c r="O14" s="48">
        <f t="shared" si="1"/>
        <v>89.3</v>
      </c>
    </row>
    <row r="15" spans="1:15" s="5" customFormat="1" ht="13.5" customHeight="1" x14ac:dyDescent="0.3">
      <c r="A15" s="22"/>
      <c r="B15" s="17"/>
      <c r="C15" s="2"/>
      <c r="D15" s="22"/>
      <c r="E15" s="30" t="str">
        <f t="shared" ref="E15:N15" si="6">IF(E14&gt;=90,"A",IF(E14&gt;=80,"B",IF(E14&gt;=70,"C",IF(E14&gt;=60,"D","F"))))</f>
        <v>A</v>
      </c>
      <c r="F15" s="30" t="str">
        <f t="shared" si="6"/>
        <v>C</v>
      </c>
      <c r="G15" s="30" t="str">
        <f t="shared" si="6"/>
        <v>B</v>
      </c>
      <c r="H15" s="30" t="str">
        <f t="shared" si="6"/>
        <v>A</v>
      </c>
      <c r="I15" s="30" t="str">
        <f t="shared" si="6"/>
        <v>B</v>
      </c>
      <c r="J15" s="30" t="str">
        <f t="shared" si="6"/>
        <v>A</v>
      </c>
      <c r="K15" s="30" t="str">
        <f t="shared" si="6"/>
        <v>A</v>
      </c>
      <c r="L15" s="30" t="str">
        <f t="shared" si="6"/>
        <v>A</v>
      </c>
      <c r="M15" s="30" t="str">
        <f t="shared" si="6"/>
        <v>A</v>
      </c>
      <c r="N15" s="30" t="str">
        <f t="shared" si="6"/>
        <v>A</v>
      </c>
      <c r="O15" s="48"/>
    </row>
    <row r="16" spans="1:15" s="5" customFormat="1" ht="13.5" customHeight="1" x14ac:dyDescent="0.25">
      <c r="A16" s="22">
        <v>7</v>
      </c>
      <c r="B16" s="17" t="s">
        <v>334</v>
      </c>
      <c r="C16" s="2" t="s">
        <v>823</v>
      </c>
      <c r="D16" s="22" t="s">
        <v>376</v>
      </c>
      <c r="E16" s="48">
        <v>80</v>
      </c>
      <c r="F16" s="48">
        <v>87</v>
      </c>
      <c r="G16" s="48">
        <v>86</v>
      </c>
      <c r="H16" s="48">
        <v>90</v>
      </c>
      <c r="I16" s="48">
        <v>70</v>
      </c>
      <c r="J16" s="48">
        <v>84</v>
      </c>
      <c r="K16" s="48">
        <v>85</v>
      </c>
      <c r="L16" s="48">
        <v>82</v>
      </c>
      <c r="M16" s="48">
        <v>95</v>
      </c>
      <c r="N16" s="48">
        <v>92</v>
      </c>
      <c r="O16" s="48">
        <f t="shared" si="1"/>
        <v>85.1</v>
      </c>
    </row>
    <row r="17" spans="1:15" s="5" customFormat="1" ht="13.5" customHeight="1" x14ac:dyDescent="0.3">
      <c r="A17" s="22"/>
      <c r="B17" s="17"/>
      <c r="C17" s="2"/>
      <c r="D17" s="22"/>
      <c r="E17" s="30" t="str">
        <f t="shared" ref="E17:N17" si="7">IF(E16&gt;=90,"A",IF(E16&gt;=80,"B",IF(E16&gt;=70,"C",IF(E16&gt;=60,"D","F"))))</f>
        <v>B</v>
      </c>
      <c r="F17" s="30" t="str">
        <f t="shared" si="7"/>
        <v>B</v>
      </c>
      <c r="G17" s="30" t="str">
        <f t="shared" si="7"/>
        <v>B</v>
      </c>
      <c r="H17" s="30" t="str">
        <f t="shared" si="7"/>
        <v>A</v>
      </c>
      <c r="I17" s="30" t="str">
        <f t="shared" si="7"/>
        <v>C</v>
      </c>
      <c r="J17" s="30" t="str">
        <f t="shared" si="7"/>
        <v>B</v>
      </c>
      <c r="K17" s="30" t="str">
        <f t="shared" si="7"/>
        <v>B</v>
      </c>
      <c r="L17" s="30" t="str">
        <f t="shared" si="7"/>
        <v>B</v>
      </c>
      <c r="M17" s="30" t="str">
        <f t="shared" si="7"/>
        <v>A</v>
      </c>
      <c r="N17" s="30" t="str">
        <f t="shared" si="7"/>
        <v>A</v>
      </c>
      <c r="O17" s="48"/>
    </row>
    <row r="18" spans="1:15" s="5" customFormat="1" ht="13.5" customHeight="1" x14ac:dyDescent="0.25">
      <c r="A18" s="22">
        <v>8</v>
      </c>
      <c r="B18" s="17" t="s">
        <v>393</v>
      </c>
      <c r="C18" s="2" t="s">
        <v>824</v>
      </c>
      <c r="D18" s="22" t="s">
        <v>375</v>
      </c>
      <c r="E18" s="48">
        <v>81</v>
      </c>
      <c r="F18" s="48">
        <v>86</v>
      </c>
      <c r="G18" s="48">
        <v>74</v>
      </c>
      <c r="H18" s="48">
        <v>90</v>
      </c>
      <c r="I18" s="48">
        <v>80</v>
      </c>
      <c r="J18" s="48">
        <v>87</v>
      </c>
      <c r="K18" s="48">
        <v>71</v>
      </c>
      <c r="L18" s="48">
        <v>78</v>
      </c>
      <c r="M18" s="48">
        <v>90</v>
      </c>
      <c r="N18" s="48">
        <v>93</v>
      </c>
      <c r="O18" s="48">
        <f t="shared" si="1"/>
        <v>83</v>
      </c>
    </row>
    <row r="19" spans="1:15" s="5" customFormat="1" ht="13.5" customHeight="1" x14ac:dyDescent="0.3">
      <c r="A19" s="22"/>
      <c r="B19" s="17"/>
      <c r="C19" s="2"/>
      <c r="D19" s="22"/>
      <c r="E19" s="30" t="str">
        <f t="shared" ref="E19:N19" si="8">IF(E18&gt;=90,"A",IF(E18&gt;=80,"B",IF(E18&gt;=70,"C",IF(E18&gt;=60,"D","F"))))</f>
        <v>B</v>
      </c>
      <c r="F19" s="30" t="str">
        <f t="shared" si="8"/>
        <v>B</v>
      </c>
      <c r="G19" s="30" t="str">
        <f t="shared" si="8"/>
        <v>C</v>
      </c>
      <c r="H19" s="30" t="str">
        <f t="shared" si="8"/>
        <v>A</v>
      </c>
      <c r="I19" s="30" t="str">
        <f t="shared" si="8"/>
        <v>B</v>
      </c>
      <c r="J19" s="30" t="str">
        <f t="shared" si="8"/>
        <v>B</v>
      </c>
      <c r="K19" s="30" t="str">
        <f t="shared" si="8"/>
        <v>C</v>
      </c>
      <c r="L19" s="30" t="str">
        <f t="shared" si="8"/>
        <v>C</v>
      </c>
      <c r="M19" s="30" t="str">
        <f t="shared" si="8"/>
        <v>A</v>
      </c>
      <c r="N19" s="30" t="str">
        <f t="shared" si="8"/>
        <v>A</v>
      </c>
      <c r="O19" s="48"/>
    </row>
    <row r="20" spans="1:15" s="5" customFormat="1" ht="13.5" customHeight="1" x14ac:dyDescent="0.25">
      <c r="A20" s="56">
        <v>9</v>
      </c>
      <c r="B20" s="77" t="s">
        <v>336</v>
      </c>
      <c r="C20" s="2" t="s">
        <v>825</v>
      </c>
      <c r="D20" s="56" t="s">
        <v>375</v>
      </c>
      <c r="E20" s="78">
        <v>72</v>
      </c>
      <c r="F20" s="78">
        <v>68</v>
      </c>
      <c r="G20" s="78">
        <v>70</v>
      </c>
      <c r="H20" s="78">
        <v>87.5</v>
      </c>
      <c r="I20" s="78">
        <v>71</v>
      </c>
      <c r="J20" s="78">
        <v>90</v>
      </c>
      <c r="K20" s="78">
        <v>74</v>
      </c>
      <c r="L20" s="78">
        <v>70</v>
      </c>
      <c r="M20" s="78">
        <v>86</v>
      </c>
      <c r="N20" s="78">
        <v>92</v>
      </c>
      <c r="O20" s="48">
        <f t="shared" si="1"/>
        <v>78.05</v>
      </c>
    </row>
    <row r="21" spans="1:15" ht="15.75" x14ac:dyDescent="0.3">
      <c r="A21" s="25"/>
      <c r="B21" s="20"/>
      <c r="C21" s="20"/>
      <c r="D21" s="6"/>
      <c r="E21" s="30" t="str">
        <f t="shared" ref="E21:N21" si="9">IF(E20&gt;=90,"A",IF(E20&gt;=80,"B",IF(E20&gt;=70,"C",IF(E20&gt;=60,"D","F"))))</f>
        <v>C</v>
      </c>
      <c r="F21" s="30" t="str">
        <f t="shared" si="9"/>
        <v>D</v>
      </c>
      <c r="G21" s="30" t="str">
        <f t="shared" si="9"/>
        <v>C</v>
      </c>
      <c r="H21" s="30" t="str">
        <f t="shared" si="9"/>
        <v>B</v>
      </c>
      <c r="I21" s="30" t="str">
        <f t="shared" si="9"/>
        <v>C</v>
      </c>
      <c r="J21" s="30" t="str">
        <f t="shared" si="9"/>
        <v>A</v>
      </c>
      <c r="K21" s="30" t="str">
        <f t="shared" si="9"/>
        <v>C</v>
      </c>
      <c r="L21" s="30" t="str">
        <f t="shared" si="9"/>
        <v>C</v>
      </c>
      <c r="M21" s="30" t="str">
        <f t="shared" si="9"/>
        <v>B</v>
      </c>
      <c r="N21" s="30" t="str">
        <f t="shared" si="9"/>
        <v>A</v>
      </c>
      <c r="O21" s="3"/>
    </row>
    <row r="26" spans="1:15" x14ac:dyDescent="0.25">
      <c r="K26" s="46" t="s">
        <v>454</v>
      </c>
    </row>
  </sheetData>
  <sheetProtection formatCells="0" formatColumns="0" formatRows="0" insertColumns="0" insertRows="0" insertHyperlinks="0" deleteColumns="0" deleteRows="0" sort="0" autoFilter="0" pivotTables="0"/>
  <autoFilter ref="A1:D20" xr:uid="{00000000-0009-0000-0000-000022000000}">
    <filterColumn colId="0" showButton="0"/>
  </autoFilter>
  <mergeCells count="1">
    <mergeCell ref="A1:B2"/>
  </mergeCells>
  <pageMargins left="0.23" right="0.17" top="0.83" bottom="0" header="0.17" footer="0.3"/>
  <pageSetup paperSize="9" orientation="landscape" r:id="rId1"/>
  <headerFooter>
    <oddFooter xml:space="preserve">&amp;C
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25"/>
  <sheetViews>
    <sheetView zoomScaleNormal="100" workbookViewId="0">
      <selection activeCell="F6" sqref="F6"/>
    </sheetView>
  </sheetViews>
  <sheetFormatPr defaultRowHeight="15" x14ac:dyDescent="0.25"/>
  <cols>
    <col min="1" max="1" width="6" style="13" customWidth="1"/>
    <col min="2" max="2" width="18.42578125" style="28" customWidth="1"/>
    <col min="3" max="3" width="11.140625" style="28" bestFit="1" customWidth="1"/>
    <col min="4" max="4" width="4.7109375" style="7" customWidth="1"/>
    <col min="5" max="5" width="10.28515625" style="46" customWidth="1"/>
    <col min="6" max="6" width="9.42578125" style="46" customWidth="1"/>
    <col min="7" max="7" width="12.5703125" style="46" bestFit="1" customWidth="1"/>
    <col min="8" max="8" width="8.85546875" style="46" customWidth="1"/>
    <col min="9" max="9" width="9" style="46" customWidth="1"/>
    <col min="10" max="10" width="10.140625" style="46" customWidth="1"/>
    <col min="11" max="11" width="8.42578125" style="46" customWidth="1"/>
    <col min="12" max="12" width="17.28515625" style="46" bestFit="1" customWidth="1"/>
    <col min="13" max="13" width="8.140625" style="2" customWidth="1"/>
    <col min="14" max="14" width="8.28515625" style="2" customWidth="1"/>
    <col min="15" max="16384" width="9.140625" style="2"/>
  </cols>
  <sheetData>
    <row r="1" spans="1:15" ht="6" customHeight="1" x14ac:dyDescent="0.25">
      <c r="A1" s="85" t="s">
        <v>801</v>
      </c>
      <c r="B1" s="86"/>
      <c r="C1" s="80"/>
    </row>
    <row r="2" spans="1:15" ht="10.5" customHeight="1" x14ac:dyDescent="0.25">
      <c r="A2" s="87"/>
      <c r="B2" s="88"/>
      <c r="C2" s="80"/>
    </row>
    <row r="3" spans="1:15" s="79" customFormat="1" ht="25.5" customHeight="1" x14ac:dyDescent="0.25">
      <c r="A3" s="68" t="s">
        <v>0</v>
      </c>
      <c r="B3" s="69" t="s">
        <v>1</v>
      </c>
      <c r="C3" s="69"/>
      <c r="D3" s="71" t="s">
        <v>2</v>
      </c>
      <c r="E3" s="71" t="s">
        <v>426</v>
      </c>
      <c r="F3" s="71" t="s">
        <v>427</v>
      </c>
      <c r="G3" s="71" t="s">
        <v>456</v>
      </c>
      <c r="H3" s="71" t="s">
        <v>439</v>
      </c>
      <c r="I3" s="71" t="s">
        <v>440</v>
      </c>
      <c r="J3" s="71" t="s">
        <v>441</v>
      </c>
      <c r="K3" s="71" t="s">
        <v>437</v>
      </c>
      <c r="L3" s="71" t="s">
        <v>828</v>
      </c>
      <c r="M3" s="71" t="s">
        <v>445</v>
      </c>
      <c r="N3" s="71" t="s">
        <v>438</v>
      </c>
      <c r="O3" s="73" t="s">
        <v>428</v>
      </c>
    </row>
    <row r="4" spans="1:15" s="5" customFormat="1" ht="13.5" customHeight="1" x14ac:dyDescent="0.25">
      <c r="A4" s="22">
        <v>1</v>
      </c>
      <c r="B4" s="17" t="s">
        <v>396</v>
      </c>
      <c r="C4" s="2" t="s">
        <v>790</v>
      </c>
      <c r="D4" s="22" t="s">
        <v>375</v>
      </c>
      <c r="E4" s="48">
        <v>81</v>
      </c>
      <c r="F4" s="48">
        <v>93</v>
      </c>
      <c r="G4" s="48">
        <v>94</v>
      </c>
      <c r="H4" s="48">
        <v>98</v>
      </c>
      <c r="I4" s="48">
        <v>95</v>
      </c>
      <c r="J4" s="48">
        <v>100</v>
      </c>
      <c r="K4" s="48">
        <v>97</v>
      </c>
      <c r="L4" s="48">
        <v>95</v>
      </c>
      <c r="M4" s="43">
        <v>96</v>
      </c>
      <c r="N4" s="43">
        <v>96</v>
      </c>
      <c r="O4" s="48">
        <f>AVERAGE(E4:N4)</f>
        <v>94.5</v>
      </c>
    </row>
    <row r="5" spans="1:15" s="5" customFormat="1" ht="13.5" customHeight="1" x14ac:dyDescent="0.3">
      <c r="A5" s="22"/>
      <c r="B5" s="17"/>
      <c r="C5" s="2"/>
      <c r="D5" s="22"/>
      <c r="E5" s="30" t="str">
        <f t="shared" ref="E5:N5" si="0">IF(E4&gt;=90,"A",IF(E4&gt;=80,"B",IF(E4&gt;=70,"C",IF(E4&gt;=60,"D","F"))))</f>
        <v>B</v>
      </c>
      <c r="F5" s="30" t="str">
        <f t="shared" si="0"/>
        <v>A</v>
      </c>
      <c r="G5" s="30" t="str">
        <f t="shared" si="0"/>
        <v>A</v>
      </c>
      <c r="H5" s="30" t="str">
        <f t="shared" si="0"/>
        <v>A</v>
      </c>
      <c r="I5" s="30" t="str">
        <f t="shared" si="0"/>
        <v>A</v>
      </c>
      <c r="J5" s="30" t="str">
        <f t="shared" si="0"/>
        <v>A</v>
      </c>
      <c r="K5" s="30" t="str">
        <f t="shared" si="0"/>
        <v>A</v>
      </c>
      <c r="L5" s="30" t="str">
        <f t="shared" si="0"/>
        <v>A</v>
      </c>
      <c r="M5" s="30" t="str">
        <f t="shared" si="0"/>
        <v>A</v>
      </c>
      <c r="N5" s="30" t="str">
        <f t="shared" si="0"/>
        <v>A</v>
      </c>
      <c r="O5" s="48"/>
    </row>
    <row r="6" spans="1:15" s="5" customFormat="1" ht="13.5" customHeight="1" x14ac:dyDescent="0.25">
      <c r="A6" s="22">
        <v>2</v>
      </c>
      <c r="B6" s="17" t="s">
        <v>326</v>
      </c>
      <c r="C6" s="2" t="s">
        <v>791</v>
      </c>
      <c r="D6" s="22" t="s">
        <v>376</v>
      </c>
      <c r="E6" s="48">
        <v>97</v>
      </c>
      <c r="F6" s="48">
        <v>90</v>
      </c>
      <c r="G6" s="48">
        <v>90</v>
      </c>
      <c r="H6" s="48">
        <v>96</v>
      </c>
      <c r="I6" s="48">
        <v>94</v>
      </c>
      <c r="J6" s="48">
        <v>100</v>
      </c>
      <c r="K6" s="48">
        <v>96</v>
      </c>
      <c r="L6" s="48">
        <v>98</v>
      </c>
      <c r="M6" s="43">
        <v>98</v>
      </c>
      <c r="N6" s="43">
        <v>97</v>
      </c>
      <c r="O6" s="48">
        <f t="shared" ref="O6:O24" si="1">AVERAGE(E6:N6)</f>
        <v>95.6</v>
      </c>
    </row>
    <row r="7" spans="1:15" s="5" customFormat="1" ht="13.5" customHeight="1" x14ac:dyDescent="0.3">
      <c r="A7" s="22"/>
      <c r="B7" s="17"/>
      <c r="C7" s="2"/>
      <c r="D7" s="22"/>
      <c r="E7" s="30" t="str">
        <f t="shared" ref="E7:N7" si="2">IF(E6&gt;=90,"A",IF(E6&gt;=80,"B",IF(E6&gt;=70,"C",IF(E6&gt;=60,"D","F"))))</f>
        <v>A</v>
      </c>
      <c r="F7" s="30" t="str">
        <f t="shared" si="2"/>
        <v>A</v>
      </c>
      <c r="G7" s="30" t="str">
        <f t="shared" si="2"/>
        <v>A</v>
      </c>
      <c r="H7" s="30" t="str">
        <f t="shared" si="2"/>
        <v>A</v>
      </c>
      <c r="I7" s="30" t="str">
        <f t="shared" si="2"/>
        <v>A</v>
      </c>
      <c r="J7" s="30" t="str">
        <f t="shared" si="2"/>
        <v>A</v>
      </c>
      <c r="K7" s="30" t="str">
        <f t="shared" si="2"/>
        <v>A</v>
      </c>
      <c r="L7" s="30" t="str">
        <f t="shared" si="2"/>
        <v>A</v>
      </c>
      <c r="M7" s="30" t="str">
        <f t="shared" si="2"/>
        <v>A</v>
      </c>
      <c r="N7" s="30" t="str">
        <f t="shared" si="2"/>
        <v>A</v>
      </c>
      <c r="O7" s="48"/>
    </row>
    <row r="8" spans="1:15" s="5" customFormat="1" ht="13.5" customHeight="1" x14ac:dyDescent="0.25">
      <c r="A8" s="22">
        <v>3</v>
      </c>
      <c r="B8" s="17" t="s">
        <v>327</v>
      </c>
      <c r="C8" s="2" t="s">
        <v>792</v>
      </c>
      <c r="D8" s="22" t="s">
        <v>376</v>
      </c>
      <c r="E8" s="48">
        <v>92</v>
      </c>
      <c r="F8" s="48">
        <v>86</v>
      </c>
      <c r="G8" s="48">
        <v>94</v>
      </c>
      <c r="H8" s="48">
        <v>94</v>
      </c>
      <c r="I8" s="48">
        <v>80</v>
      </c>
      <c r="J8" s="48">
        <v>90</v>
      </c>
      <c r="K8" s="48">
        <v>95</v>
      </c>
      <c r="L8" s="48">
        <v>92</v>
      </c>
      <c r="M8" s="43">
        <v>93</v>
      </c>
      <c r="N8" s="43">
        <v>97</v>
      </c>
      <c r="O8" s="48">
        <f t="shared" si="1"/>
        <v>91.3</v>
      </c>
    </row>
    <row r="9" spans="1:15" s="5" customFormat="1" ht="13.5" customHeight="1" x14ac:dyDescent="0.3">
      <c r="A9" s="22"/>
      <c r="B9" s="17"/>
      <c r="C9" s="2"/>
      <c r="D9" s="22"/>
      <c r="E9" s="30" t="str">
        <f t="shared" ref="E9:N9" si="3">IF(E8&gt;=90,"A",IF(E8&gt;=80,"B",IF(E8&gt;=70,"C",IF(E8&gt;=60,"D","F"))))</f>
        <v>A</v>
      </c>
      <c r="F9" s="30" t="str">
        <f t="shared" si="3"/>
        <v>B</v>
      </c>
      <c r="G9" s="30" t="str">
        <f t="shared" si="3"/>
        <v>A</v>
      </c>
      <c r="H9" s="30" t="str">
        <f t="shared" si="3"/>
        <v>A</v>
      </c>
      <c r="I9" s="30" t="str">
        <f t="shared" si="3"/>
        <v>B</v>
      </c>
      <c r="J9" s="30" t="str">
        <f t="shared" si="3"/>
        <v>A</v>
      </c>
      <c r="K9" s="30" t="str">
        <f t="shared" si="3"/>
        <v>A</v>
      </c>
      <c r="L9" s="30" t="str">
        <f t="shared" si="3"/>
        <v>A</v>
      </c>
      <c r="M9" s="30" t="str">
        <f t="shared" si="3"/>
        <v>A</v>
      </c>
      <c r="N9" s="30" t="str">
        <f t="shared" si="3"/>
        <v>A</v>
      </c>
      <c r="O9" s="48"/>
    </row>
    <row r="10" spans="1:15" s="5" customFormat="1" ht="13.5" customHeight="1" x14ac:dyDescent="0.25">
      <c r="A10" s="22">
        <v>4</v>
      </c>
      <c r="B10" s="17" t="s">
        <v>397</v>
      </c>
      <c r="C10" s="2" t="s">
        <v>793</v>
      </c>
      <c r="D10" s="22" t="s">
        <v>376</v>
      </c>
      <c r="E10" s="48">
        <v>90</v>
      </c>
      <c r="F10" s="48">
        <v>91</v>
      </c>
      <c r="G10" s="48">
        <v>96</v>
      </c>
      <c r="H10" s="48">
        <v>99</v>
      </c>
      <c r="I10" s="48">
        <v>91</v>
      </c>
      <c r="J10" s="48">
        <v>90</v>
      </c>
      <c r="K10" s="48">
        <v>94</v>
      </c>
      <c r="L10" s="48">
        <v>86</v>
      </c>
      <c r="M10" s="43">
        <v>94</v>
      </c>
      <c r="N10" s="43">
        <v>97</v>
      </c>
      <c r="O10" s="48">
        <f t="shared" si="1"/>
        <v>92.8</v>
      </c>
    </row>
    <row r="11" spans="1:15" s="5" customFormat="1" ht="13.5" customHeight="1" x14ac:dyDescent="0.3">
      <c r="A11" s="22"/>
      <c r="B11" s="17"/>
      <c r="C11" s="2"/>
      <c r="D11" s="22"/>
      <c r="E11" s="30" t="str">
        <f t="shared" ref="E11:N11" si="4">IF(E10&gt;=90,"A",IF(E10&gt;=80,"B",IF(E10&gt;=70,"C",IF(E10&gt;=60,"D","F"))))</f>
        <v>A</v>
      </c>
      <c r="F11" s="30" t="str">
        <f t="shared" si="4"/>
        <v>A</v>
      </c>
      <c r="G11" s="30" t="str">
        <f t="shared" si="4"/>
        <v>A</v>
      </c>
      <c r="H11" s="30" t="str">
        <f t="shared" si="4"/>
        <v>A</v>
      </c>
      <c r="I11" s="30" t="str">
        <f t="shared" si="4"/>
        <v>A</v>
      </c>
      <c r="J11" s="30" t="str">
        <f t="shared" si="4"/>
        <v>A</v>
      </c>
      <c r="K11" s="30" t="str">
        <f t="shared" si="4"/>
        <v>A</v>
      </c>
      <c r="L11" s="30" t="str">
        <f t="shared" si="4"/>
        <v>B</v>
      </c>
      <c r="M11" s="30" t="str">
        <f t="shared" si="4"/>
        <v>A</v>
      </c>
      <c r="N11" s="30" t="str">
        <f t="shared" si="4"/>
        <v>A</v>
      </c>
      <c r="O11" s="48"/>
    </row>
    <row r="12" spans="1:15" s="5" customFormat="1" ht="13.5" customHeight="1" x14ac:dyDescent="0.25">
      <c r="A12" s="22">
        <v>5</v>
      </c>
      <c r="B12" s="17" t="s">
        <v>328</v>
      </c>
      <c r="C12" s="2" t="s">
        <v>794</v>
      </c>
      <c r="D12" s="22" t="s">
        <v>376</v>
      </c>
      <c r="E12" s="48">
        <v>83</v>
      </c>
      <c r="F12" s="48">
        <v>77</v>
      </c>
      <c r="G12" s="48">
        <v>82</v>
      </c>
      <c r="H12" s="48">
        <v>88</v>
      </c>
      <c r="I12" s="48">
        <v>67</v>
      </c>
      <c r="J12" s="48">
        <v>71</v>
      </c>
      <c r="K12" s="48">
        <v>86</v>
      </c>
      <c r="L12" s="48">
        <v>97</v>
      </c>
      <c r="M12" s="43">
        <v>88</v>
      </c>
      <c r="N12" s="43">
        <v>97</v>
      </c>
      <c r="O12" s="48">
        <f t="shared" si="1"/>
        <v>83.6</v>
      </c>
    </row>
    <row r="13" spans="1:15" s="5" customFormat="1" ht="13.5" customHeight="1" x14ac:dyDescent="0.3">
      <c r="A13" s="22"/>
      <c r="B13" s="17"/>
      <c r="C13" s="2"/>
      <c r="D13" s="22"/>
      <c r="E13" s="30" t="str">
        <f t="shared" ref="E13:N13" si="5">IF(E12&gt;=90,"A",IF(E12&gt;=80,"B",IF(E12&gt;=70,"C",IF(E12&gt;=60,"D","F"))))</f>
        <v>B</v>
      </c>
      <c r="F13" s="30" t="str">
        <f t="shared" si="5"/>
        <v>C</v>
      </c>
      <c r="G13" s="30" t="str">
        <f t="shared" si="5"/>
        <v>B</v>
      </c>
      <c r="H13" s="30" t="str">
        <f t="shared" si="5"/>
        <v>B</v>
      </c>
      <c r="I13" s="30" t="str">
        <f t="shared" si="5"/>
        <v>D</v>
      </c>
      <c r="J13" s="30" t="str">
        <f t="shared" si="5"/>
        <v>C</v>
      </c>
      <c r="K13" s="30" t="str">
        <f t="shared" si="5"/>
        <v>B</v>
      </c>
      <c r="L13" s="30" t="str">
        <f t="shared" si="5"/>
        <v>A</v>
      </c>
      <c r="M13" s="30" t="str">
        <f t="shared" si="5"/>
        <v>B</v>
      </c>
      <c r="N13" s="30" t="str">
        <f t="shared" si="5"/>
        <v>A</v>
      </c>
      <c r="O13" s="48"/>
    </row>
    <row r="14" spans="1:15" s="5" customFormat="1" ht="13.5" customHeight="1" x14ac:dyDescent="0.25">
      <c r="A14" s="22">
        <v>6</v>
      </c>
      <c r="B14" s="17" t="s">
        <v>391</v>
      </c>
      <c r="C14" s="2" t="s">
        <v>795</v>
      </c>
      <c r="D14" s="22" t="s">
        <v>375</v>
      </c>
      <c r="E14" s="48">
        <v>77</v>
      </c>
      <c r="F14" s="48">
        <v>58</v>
      </c>
      <c r="G14" s="48">
        <v>74</v>
      </c>
      <c r="H14" s="48">
        <v>83</v>
      </c>
      <c r="I14" s="48">
        <v>62</v>
      </c>
      <c r="J14" s="48">
        <v>67</v>
      </c>
      <c r="K14" s="48">
        <v>71</v>
      </c>
      <c r="L14" s="48">
        <v>76</v>
      </c>
      <c r="M14" s="43">
        <v>90</v>
      </c>
      <c r="N14" s="43">
        <v>96</v>
      </c>
      <c r="O14" s="48">
        <f t="shared" si="1"/>
        <v>75.400000000000006</v>
      </c>
    </row>
    <row r="15" spans="1:15" s="5" customFormat="1" ht="13.5" customHeight="1" x14ac:dyDescent="0.3">
      <c r="A15" s="22"/>
      <c r="B15" s="17"/>
      <c r="C15" s="2"/>
      <c r="D15" s="22"/>
      <c r="E15" s="30" t="str">
        <f t="shared" ref="E15:N15" si="6">IF(E14&gt;=90,"A",IF(E14&gt;=80,"B",IF(E14&gt;=70,"C",IF(E14&gt;=60,"D","F"))))</f>
        <v>C</v>
      </c>
      <c r="F15" s="30" t="str">
        <f t="shared" si="6"/>
        <v>F</v>
      </c>
      <c r="G15" s="30" t="str">
        <f t="shared" si="6"/>
        <v>C</v>
      </c>
      <c r="H15" s="30" t="str">
        <f t="shared" si="6"/>
        <v>B</v>
      </c>
      <c r="I15" s="30" t="str">
        <f t="shared" si="6"/>
        <v>D</v>
      </c>
      <c r="J15" s="30" t="str">
        <f t="shared" si="6"/>
        <v>D</v>
      </c>
      <c r="K15" s="30" t="str">
        <f t="shared" si="6"/>
        <v>C</v>
      </c>
      <c r="L15" s="30" t="str">
        <f t="shared" si="6"/>
        <v>C</v>
      </c>
      <c r="M15" s="30" t="str">
        <f t="shared" si="6"/>
        <v>A</v>
      </c>
      <c r="N15" s="30" t="str">
        <f t="shared" si="6"/>
        <v>A</v>
      </c>
      <c r="O15" s="48"/>
    </row>
    <row r="16" spans="1:15" s="5" customFormat="1" ht="13.5" customHeight="1" x14ac:dyDescent="0.25">
      <c r="A16" s="22">
        <v>7</v>
      </c>
      <c r="B16" s="17" t="s">
        <v>329</v>
      </c>
      <c r="C16" s="2" t="s">
        <v>796</v>
      </c>
      <c r="D16" s="22" t="s">
        <v>376</v>
      </c>
      <c r="E16" s="48">
        <v>76</v>
      </c>
      <c r="F16" s="48">
        <v>88</v>
      </c>
      <c r="G16" s="48">
        <v>87</v>
      </c>
      <c r="H16" s="48">
        <v>94</v>
      </c>
      <c r="I16" s="48">
        <v>62</v>
      </c>
      <c r="J16" s="48">
        <v>76</v>
      </c>
      <c r="K16" s="48">
        <v>84</v>
      </c>
      <c r="L16" s="48">
        <v>83</v>
      </c>
      <c r="M16" s="43">
        <v>93</v>
      </c>
      <c r="N16" s="43">
        <v>96</v>
      </c>
      <c r="O16" s="48">
        <f t="shared" si="1"/>
        <v>83.9</v>
      </c>
    </row>
    <row r="17" spans="1:15" s="5" customFormat="1" ht="13.5" customHeight="1" x14ac:dyDescent="0.3">
      <c r="A17" s="22"/>
      <c r="B17" s="17"/>
      <c r="C17" s="2"/>
      <c r="D17" s="22"/>
      <c r="E17" s="30" t="str">
        <f t="shared" ref="E17:N17" si="7">IF(E16&gt;=90,"A",IF(E16&gt;=80,"B",IF(E16&gt;=70,"C",IF(E16&gt;=60,"D","F"))))</f>
        <v>C</v>
      </c>
      <c r="F17" s="30" t="str">
        <f t="shared" si="7"/>
        <v>B</v>
      </c>
      <c r="G17" s="30" t="str">
        <f t="shared" si="7"/>
        <v>B</v>
      </c>
      <c r="H17" s="30" t="str">
        <f t="shared" si="7"/>
        <v>A</v>
      </c>
      <c r="I17" s="30" t="str">
        <f t="shared" si="7"/>
        <v>D</v>
      </c>
      <c r="J17" s="30" t="str">
        <f t="shared" si="7"/>
        <v>C</v>
      </c>
      <c r="K17" s="30" t="str">
        <f t="shared" si="7"/>
        <v>B</v>
      </c>
      <c r="L17" s="30" t="str">
        <f t="shared" si="7"/>
        <v>B</v>
      </c>
      <c r="M17" s="30" t="str">
        <f t="shared" si="7"/>
        <v>A</v>
      </c>
      <c r="N17" s="30" t="str">
        <f t="shared" si="7"/>
        <v>A</v>
      </c>
      <c r="O17" s="48"/>
    </row>
    <row r="18" spans="1:15" s="5" customFormat="1" ht="13.5" customHeight="1" x14ac:dyDescent="0.25">
      <c r="A18" s="22">
        <v>8</v>
      </c>
      <c r="B18" s="17" t="s">
        <v>395</v>
      </c>
      <c r="C18" s="2" t="s">
        <v>797</v>
      </c>
      <c r="D18" s="22" t="s">
        <v>375</v>
      </c>
      <c r="E18" s="48">
        <v>73</v>
      </c>
      <c r="F18" s="48">
        <v>70</v>
      </c>
      <c r="G18" s="48">
        <v>83</v>
      </c>
      <c r="H18" s="48">
        <v>87</v>
      </c>
      <c r="I18" s="48">
        <v>68</v>
      </c>
      <c r="J18" s="48">
        <v>71</v>
      </c>
      <c r="K18" s="48">
        <v>74</v>
      </c>
      <c r="L18" s="48">
        <v>77</v>
      </c>
      <c r="M18" s="43">
        <v>92</v>
      </c>
      <c r="N18" s="43">
        <v>93</v>
      </c>
      <c r="O18" s="48">
        <f t="shared" si="1"/>
        <v>78.8</v>
      </c>
    </row>
    <row r="19" spans="1:15" s="5" customFormat="1" ht="13.5" customHeight="1" x14ac:dyDescent="0.3">
      <c r="A19" s="22"/>
      <c r="B19" s="17"/>
      <c r="C19" s="2"/>
      <c r="D19" s="22"/>
      <c r="E19" s="30" t="str">
        <f t="shared" ref="E19:N19" si="8">IF(E18&gt;=90,"A",IF(E18&gt;=80,"B",IF(E18&gt;=70,"C",IF(E18&gt;=60,"D","F"))))</f>
        <v>C</v>
      </c>
      <c r="F19" s="30" t="str">
        <f t="shared" si="8"/>
        <v>C</v>
      </c>
      <c r="G19" s="30" t="str">
        <f t="shared" si="8"/>
        <v>B</v>
      </c>
      <c r="H19" s="30" t="str">
        <f t="shared" si="8"/>
        <v>B</v>
      </c>
      <c r="I19" s="30" t="str">
        <f t="shared" si="8"/>
        <v>D</v>
      </c>
      <c r="J19" s="30" t="str">
        <f t="shared" si="8"/>
        <v>C</v>
      </c>
      <c r="K19" s="30" t="str">
        <f t="shared" si="8"/>
        <v>C</v>
      </c>
      <c r="L19" s="30" t="str">
        <f t="shared" si="8"/>
        <v>C</v>
      </c>
      <c r="M19" s="30" t="str">
        <f t="shared" si="8"/>
        <v>A</v>
      </c>
      <c r="N19" s="30" t="str">
        <f t="shared" si="8"/>
        <v>A</v>
      </c>
      <c r="O19" s="48"/>
    </row>
    <row r="20" spans="1:15" s="5" customFormat="1" ht="13.5" customHeight="1" x14ac:dyDescent="0.25">
      <c r="A20" s="22">
        <v>9</v>
      </c>
      <c r="B20" s="17" t="s">
        <v>400</v>
      </c>
      <c r="C20" s="2" t="s">
        <v>798</v>
      </c>
      <c r="D20" s="22" t="s">
        <v>375</v>
      </c>
      <c r="E20" s="48">
        <v>64</v>
      </c>
      <c r="F20" s="48">
        <v>61</v>
      </c>
      <c r="G20" s="48">
        <v>71</v>
      </c>
      <c r="H20" s="48">
        <v>79</v>
      </c>
      <c r="I20" s="48">
        <v>46</v>
      </c>
      <c r="J20" s="48">
        <v>60</v>
      </c>
      <c r="K20" s="48">
        <v>59</v>
      </c>
      <c r="L20" s="48">
        <v>57</v>
      </c>
      <c r="M20" s="43">
        <v>89</v>
      </c>
      <c r="N20" s="43">
        <v>91</v>
      </c>
      <c r="O20" s="48">
        <f t="shared" si="1"/>
        <v>67.7</v>
      </c>
    </row>
    <row r="21" spans="1:15" s="5" customFormat="1" ht="13.5" customHeight="1" x14ac:dyDescent="0.3">
      <c r="A21" s="22"/>
      <c r="B21" s="17"/>
      <c r="C21" s="2"/>
      <c r="D21" s="22"/>
      <c r="E21" s="30" t="str">
        <f t="shared" ref="E21:N21" si="9">IF(E20&gt;=90,"A",IF(E20&gt;=80,"B",IF(E20&gt;=70,"C",IF(E20&gt;=60,"D","F"))))</f>
        <v>D</v>
      </c>
      <c r="F21" s="30" t="str">
        <f t="shared" si="9"/>
        <v>D</v>
      </c>
      <c r="G21" s="30" t="str">
        <f t="shared" si="9"/>
        <v>C</v>
      </c>
      <c r="H21" s="30" t="str">
        <f t="shared" si="9"/>
        <v>C</v>
      </c>
      <c r="I21" s="30" t="str">
        <f t="shared" si="9"/>
        <v>F</v>
      </c>
      <c r="J21" s="30" t="str">
        <f t="shared" si="9"/>
        <v>D</v>
      </c>
      <c r="K21" s="30" t="str">
        <f t="shared" si="9"/>
        <v>F</v>
      </c>
      <c r="L21" s="30" t="str">
        <f t="shared" si="9"/>
        <v>F</v>
      </c>
      <c r="M21" s="30" t="str">
        <f t="shared" si="9"/>
        <v>B</v>
      </c>
      <c r="N21" s="30" t="str">
        <f t="shared" si="9"/>
        <v>A</v>
      </c>
      <c r="O21" s="48"/>
    </row>
    <row r="22" spans="1:15" s="5" customFormat="1" ht="13.5" customHeight="1" x14ac:dyDescent="0.25">
      <c r="A22" s="22">
        <v>10</v>
      </c>
      <c r="B22" s="17" t="s">
        <v>392</v>
      </c>
      <c r="C22" s="2" t="s">
        <v>799</v>
      </c>
      <c r="D22" s="22" t="s">
        <v>375</v>
      </c>
      <c r="E22" s="22">
        <v>90</v>
      </c>
      <c r="F22" s="38">
        <v>75</v>
      </c>
      <c r="G22" s="48">
        <v>81</v>
      </c>
      <c r="H22" s="48">
        <v>96</v>
      </c>
      <c r="I22" s="48">
        <v>72</v>
      </c>
      <c r="J22" s="48">
        <v>62</v>
      </c>
      <c r="K22" s="48">
        <v>95</v>
      </c>
      <c r="L22" s="48">
        <v>70</v>
      </c>
      <c r="M22" s="43">
        <v>93</v>
      </c>
      <c r="N22" s="43">
        <v>98</v>
      </c>
      <c r="O22" s="48">
        <f t="shared" si="1"/>
        <v>83.2</v>
      </c>
    </row>
    <row r="23" spans="1:15" s="5" customFormat="1" ht="13.5" customHeight="1" x14ac:dyDescent="0.3">
      <c r="A23" s="22"/>
      <c r="B23" s="17"/>
      <c r="C23" s="2"/>
      <c r="D23" s="22"/>
      <c r="E23" s="30" t="str">
        <f t="shared" ref="E23:N23" si="10">IF(E22&gt;=90,"A",IF(E22&gt;=80,"B",IF(E22&gt;=70,"C",IF(E22&gt;=60,"D","F"))))</f>
        <v>A</v>
      </c>
      <c r="F23" s="30" t="str">
        <f t="shared" si="10"/>
        <v>C</v>
      </c>
      <c r="G23" s="30" t="str">
        <f t="shared" si="10"/>
        <v>B</v>
      </c>
      <c r="H23" s="30" t="str">
        <f t="shared" si="10"/>
        <v>A</v>
      </c>
      <c r="I23" s="30" t="str">
        <f t="shared" si="10"/>
        <v>C</v>
      </c>
      <c r="J23" s="30" t="str">
        <f t="shared" si="10"/>
        <v>D</v>
      </c>
      <c r="K23" s="30" t="str">
        <f t="shared" si="10"/>
        <v>A</v>
      </c>
      <c r="L23" s="30" t="str">
        <f t="shared" si="10"/>
        <v>C</v>
      </c>
      <c r="M23" s="30" t="str">
        <f t="shared" si="10"/>
        <v>A</v>
      </c>
      <c r="N23" s="30" t="str">
        <f t="shared" si="10"/>
        <v>A</v>
      </c>
      <c r="O23" s="48"/>
    </row>
    <row r="24" spans="1:15" s="5" customFormat="1" ht="13.5" customHeight="1" x14ac:dyDescent="0.25">
      <c r="A24" s="22">
        <v>11</v>
      </c>
      <c r="B24" s="17" t="s">
        <v>335</v>
      </c>
      <c r="C24" s="2" t="s">
        <v>800</v>
      </c>
      <c r="D24" s="22" t="s">
        <v>376</v>
      </c>
      <c r="E24" s="48">
        <v>84</v>
      </c>
      <c r="F24" s="48">
        <v>87</v>
      </c>
      <c r="G24" s="48">
        <v>82</v>
      </c>
      <c r="H24" s="48">
        <v>93</v>
      </c>
      <c r="I24" s="48">
        <v>64</v>
      </c>
      <c r="J24" s="48">
        <v>90</v>
      </c>
      <c r="K24" s="48">
        <v>86</v>
      </c>
      <c r="L24" s="48">
        <v>98</v>
      </c>
      <c r="M24" s="43">
        <v>93</v>
      </c>
      <c r="N24" s="43">
        <v>96</v>
      </c>
      <c r="O24" s="48">
        <f t="shared" si="1"/>
        <v>87.3</v>
      </c>
    </row>
    <row r="25" spans="1:15" ht="15.75" x14ac:dyDescent="0.3">
      <c r="A25" s="25"/>
      <c r="B25" s="20"/>
      <c r="C25" s="20"/>
      <c r="D25" s="6"/>
      <c r="E25" s="30" t="str">
        <f t="shared" ref="E25:N25" si="11">IF(E24&gt;=90,"A",IF(E24&gt;=80,"B",IF(E24&gt;=70,"C",IF(E24&gt;=60,"D","F"))))</f>
        <v>B</v>
      </c>
      <c r="F25" s="30" t="str">
        <f t="shared" si="11"/>
        <v>B</v>
      </c>
      <c r="G25" s="30" t="str">
        <f t="shared" si="11"/>
        <v>B</v>
      </c>
      <c r="H25" s="30" t="str">
        <f t="shared" si="11"/>
        <v>A</v>
      </c>
      <c r="I25" s="30" t="str">
        <f t="shared" si="11"/>
        <v>D</v>
      </c>
      <c r="J25" s="30" t="str">
        <f t="shared" si="11"/>
        <v>A</v>
      </c>
      <c r="K25" s="30" t="str">
        <f t="shared" si="11"/>
        <v>B</v>
      </c>
      <c r="L25" s="30" t="str">
        <f t="shared" si="11"/>
        <v>A</v>
      </c>
      <c r="M25" s="30" t="str">
        <f t="shared" si="11"/>
        <v>A</v>
      </c>
      <c r="N25" s="30" t="str">
        <f t="shared" si="11"/>
        <v>A</v>
      </c>
      <c r="O25" s="3"/>
    </row>
  </sheetData>
  <sheetProtection formatCells="0" formatColumns="0" formatRows="0" insertColumns="0" insertRows="0" insertHyperlinks="0" deleteColumns="0" deleteRows="0" sort="0" autoFilter="0" pivotTables="0"/>
  <autoFilter ref="A1:D24" xr:uid="{00000000-0009-0000-0000-000024000000}">
    <filterColumn colId="0" showButton="0"/>
  </autoFilter>
  <mergeCells count="1">
    <mergeCell ref="A1:B2"/>
  </mergeCells>
  <pageMargins left="0.23" right="0.17" top="0.83" bottom="0" header="0.17" footer="0.3"/>
  <pageSetup paperSize="9" orientation="landscape" r:id="rId1"/>
  <headerFooter>
    <oddFooter xml:space="preserve">&amp;C
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31"/>
  <sheetViews>
    <sheetView zoomScaleNormal="100" workbookViewId="0">
      <selection activeCell="G23" sqref="G23"/>
    </sheetView>
  </sheetViews>
  <sheetFormatPr defaultRowHeight="15" x14ac:dyDescent="0.25"/>
  <cols>
    <col min="1" max="1" width="6" style="13" customWidth="1"/>
    <col min="2" max="2" width="22.85546875" style="28" customWidth="1"/>
    <col min="3" max="3" width="11.140625" style="28" bestFit="1" customWidth="1"/>
    <col min="4" max="4" width="6" style="7" customWidth="1"/>
    <col min="5" max="5" width="8.7109375" style="46" customWidth="1"/>
    <col min="6" max="6" width="8.5703125" style="46" customWidth="1"/>
    <col min="7" max="7" width="12.5703125" style="46" bestFit="1" customWidth="1"/>
    <col min="8" max="8" width="10.85546875" style="46" customWidth="1"/>
    <col min="9" max="9" width="8.5703125" style="46" customWidth="1"/>
    <col min="10" max="10" width="10.140625" style="46" customWidth="1"/>
    <col min="11" max="11" width="8.5703125" style="46" customWidth="1"/>
    <col min="12" max="12" width="17.28515625" style="46" bestFit="1" customWidth="1"/>
    <col min="13" max="16384" width="9.140625" style="2"/>
  </cols>
  <sheetData>
    <row r="1" spans="1:15" ht="6" customHeight="1" x14ac:dyDescent="0.25">
      <c r="A1" s="85" t="s">
        <v>816</v>
      </c>
      <c r="B1" s="86"/>
      <c r="C1" s="80"/>
    </row>
    <row r="2" spans="1:15" ht="10.5" customHeight="1" x14ac:dyDescent="0.25">
      <c r="A2" s="87"/>
      <c r="B2" s="88"/>
      <c r="C2" s="80"/>
    </row>
    <row r="3" spans="1:15" s="79" customFormat="1" ht="25.5" customHeight="1" x14ac:dyDescent="0.25">
      <c r="A3" s="68" t="s">
        <v>0</v>
      </c>
      <c r="B3" s="69" t="s">
        <v>1</v>
      </c>
      <c r="C3" s="69"/>
      <c r="D3" s="71" t="s">
        <v>2</v>
      </c>
      <c r="E3" s="71" t="s">
        <v>426</v>
      </c>
      <c r="F3" s="71" t="s">
        <v>427</v>
      </c>
      <c r="G3" s="71" t="s">
        <v>456</v>
      </c>
      <c r="H3" s="71" t="s">
        <v>439</v>
      </c>
      <c r="I3" s="71" t="s">
        <v>440</v>
      </c>
      <c r="J3" s="71" t="s">
        <v>441</v>
      </c>
      <c r="K3" s="71" t="s">
        <v>437</v>
      </c>
      <c r="L3" s="71" t="s">
        <v>828</v>
      </c>
      <c r="M3" s="71" t="s">
        <v>445</v>
      </c>
      <c r="N3" s="71" t="s">
        <v>438</v>
      </c>
      <c r="O3" s="73" t="s">
        <v>428</v>
      </c>
    </row>
    <row r="4" spans="1:15" s="5" customFormat="1" ht="13.5" customHeight="1" x14ac:dyDescent="0.25">
      <c r="A4" s="22">
        <v>1</v>
      </c>
      <c r="B4" s="17" t="s">
        <v>337</v>
      </c>
      <c r="C4" s="2" t="s">
        <v>802</v>
      </c>
      <c r="D4" s="22" t="s">
        <v>376</v>
      </c>
      <c r="E4" s="48">
        <v>82</v>
      </c>
      <c r="F4" s="48">
        <v>80</v>
      </c>
      <c r="G4" s="48">
        <v>83</v>
      </c>
      <c r="H4" s="48">
        <v>90</v>
      </c>
      <c r="I4" s="48">
        <v>68</v>
      </c>
      <c r="J4" s="48">
        <v>82.5</v>
      </c>
      <c r="K4" s="48">
        <v>85</v>
      </c>
      <c r="L4" s="48">
        <v>99</v>
      </c>
      <c r="M4" s="43">
        <v>91</v>
      </c>
      <c r="N4" s="43">
        <v>95</v>
      </c>
      <c r="O4" s="58">
        <f>AVERAGE(E4:N4)</f>
        <v>85.55</v>
      </c>
    </row>
    <row r="5" spans="1:15" s="5" customFormat="1" ht="13.5" customHeight="1" x14ac:dyDescent="0.3">
      <c r="A5" s="22"/>
      <c r="B5" s="17"/>
      <c r="C5" s="2"/>
      <c r="D5" s="22"/>
      <c r="E5" s="30" t="str">
        <f t="shared" ref="E5:N5" si="0">IF(E4&gt;=90,"A",IF(E4&gt;=80,"B",IF(E4&gt;=70,"C",IF(E4&gt;=60,"D","F"))))</f>
        <v>B</v>
      </c>
      <c r="F5" s="30" t="str">
        <f t="shared" si="0"/>
        <v>B</v>
      </c>
      <c r="G5" s="30" t="str">
        <f t="shared" si="0"/>
        <v>B</v>
      </c>
      <c r="H5" s="30" t="str">
        <f t="shared" si="0"/>
        <v>A</v>
      </c>
      <c r="I5" s="30" t="str">
        <f t="shared" si="0"/>
        <v>D</v>
      </c>
      <c r="J5" s="30" t="str">
        <f t="shared" si="0"/>
        <v>B</v>
      </c>
      <c r="K5" s="30" t="str">
        <f t="shared" si="0"/>
        <v>B</v>
      </c>
      <c r="L5" s="30" t="str">
        <f t="shared" si="0"/>
        <v>A</v>
      </c>
      <c r="M5" s="30" t="str">
        <f t="shared" si="0"/>
        <v>A</v>
      </c>
      <c r="N5" s="30" t="str">
        <f t="shared" si="0"/>
        <v>A</v>
      </c>
      <c r="O5" s="58"/>
    </row>
    <row r="6" spans="1:15" s="5" customFormat="1" ht="13.5" customHeight="1" x14ac:dyDescent="0.25">
      <c r="A6" s="22">
        <v>2</v>
      </c>
      <c r="B6" s="17" t="s">
        <v>338</v>
      </c>
      <c r="C6" s="2" t="s">
        <v>803</v>
      </c>
      <c r="D6" s="22" t="s">
        <v>376</v>
      </c>
      <c r="E6" s="48">
        <v>84</v>
      </c>
      <c r="F6" s="48">
        <v>96</v>
      </c>
      <c r="G6" s="48">
        <v>94</v>
      </c>
      <c r="H6" s="48">
        <v>94</v>
      </c>
      <c r="I6" s="48">
        <v>71</v>
      </c>
      <c r="J6" s="48">
        <v>95</v>
      </c>
      <c r="K6" s="48">
        <v>95</v>
      </c>
      <c r="L6" s="48">
        <v>90</v>
      </c>
      <c r="M6" s="43">
        <v>94</v>
      </c>
      <c r="N6" s="43">
        <v>94</v>
      </c>
      <c r="O6" s="58">
        <f t="shared" ref="O6:O30" si="1">AVERAGE(E6:N6)</f>
        <v>90.7</v>
      </c>
    </row>
    <row r="7" spans="1:15" s="5" customFormat="1" ht="13.5" customHeight="1" x14ac:dyDescent="0.3">
      <c r="A7" s="22"/>
      <c r="B7" s="17"/>
      <c r="C7" s="2"/>
      <c r="D7" s="22"/>
      <c r="E7" s="30" t="str">
        <f t="shared" ref="E7:N7" si="2">IF(E6&gt;=90,"A",IF(E6&gt;=80,"B",IF(E6&gt;=70,"C",IF(E6&gt;=60,"D","F"))))</f>
        <v>B</v>
      </c>
      <c r="F7" s="30" t="str">
        <f t="shared" si="2"/>
        <v>A</v>
      </c>
      <c r="G7" s="30" t="str">
        <f t="shared" si="2"/>
        <v>A</v>
      </c>
      <c r="H7" s="30" t="str">
        <f t="shared" si="2"/>
        <v>A</v>
      </c>
      <c r="I7" s="30" t="str">
        <f t="shared" si="2"/>
        <v>C</v>
      </c>
      <c r="J7" s="30" t="str">
        <f t="shared" si="2"/>
        <v>A</v>
      </c>
      <c r="K7" s="30" t="str">
        <f t="shared" si="2"/>
        <v>A</v>
      </c>
      <c r="L7" s="30" t="str">
        <f t="shared" si="2"/>
        <v>A</v>
      </c>
      <c r="M7" s="30" t="str">
        <f t="shared" si="2"/>
        <v>A</v>
      </c>
      <c r="N7" s="30" t="str">
        <f t="shared" si="2"/>
        <v>A</v>
      </c>
      <c r="O7" s="58"/>
    </row>
    <row r="8" spans="1:15" s="5" customFormat="1" ht="13.5" customHeight="1" x14ac:dyDescent="0.25">
      <c r="A8" s="22">
        <v>3</v>
      </c>
      <c r="B8" s="17" t="s">
        <v>339</v>
      </c>
      <c r="C8" s="2" t="s">
        <v>804</v>
      </c>
      <c r="D8" s="22" t="s">
        <v>375</v>
      </c>
      <c r="E8" s="48">
        <v>74</v>
      </c>
      <c r="F8" s="48">
        <v>92</v>
      </c>
      <c r="G8" s="48">
        <v>89</v>
      </c>
      <c r="H8" s="48">
        <v>94</v>
      </c>
      <c r="I8" s="48">
        <v>79</v>
      </c>
      <c r="J8" s="48">
        <v>90.5</v>
      </c>
      <c r="K8" s="48">
        <v>94.5</v>
      </c>
      <c r="L8" s="48">
        <v>100</v>
      </c>
      <c r="M8" s="43">
        <v>97</v>
      </c>
      <c r="N8" s="43">
        <v>97</v>
      </c>
      <c r="O8" s="58">
        <f t="shared" si="1"/>
        <v>90.7</v>
      </c>
    </row>
    <row r="9" spans="1:15" s="5" customFormat="1" ht="13.5" customHeight="1" x14ac:dyDescent="0.3">
      <c r="A9" s="22"/>
      <c r="B9" s="17"/>
      <c r="C9" s="2"/>
      <c r="D9" s="22"/>
      <c r="E9" s="30" t="str">
        <f t="shared" ref="E9:N9" si="3">IF(E8&gt;=90,"A",IF(E8&gt;=80,"B",IF(E8&gt;=70,"C",IF(E8&gt;=60,"D","F"))))</f>
        <v>C</v>
      </c>
      <c r="F9" s="30" t="str">
        <f t="shared" si="3"/>
        <v>A</v>
      </c>
      <c r="G9" s="30" t="str">
        <f t="shared" si="3"/>
        <v>B</v>
      </c>
      <c r="H9" s="30" t="str">
        <f t="shared" si="3"/>
        <v>A</v>
      </c>
      <c r="I9" s="30" t="str">
        <f t="shared" si="3"/>
        <v>C</v>
      </c>
      <c r="J9" s="30" t="str">
        <f t="shared" si="3"/>
        <v>A</v>
      </c>
      <c r="K9" s="30" t="str">
        <f t="shared" si="3"/>
        <v>A</v>
      </c>
      <c r="L9" s="30" t="str">
        <f t="shared" si="3"/>
        <v>A</v>
      </c>
      <c r="M9" s="30" t="str">
        <f t="shared" si="3"/>
        <v>A</v>
      </c>
      <c r="N9" s="30" t="str">
        <f t="shared" si="3"/>
        <v>A</v>
      </c>
      <c r="O9" s="58"/>
    </row>
    <row r="10" spans="1:15" s="5" customFormat="1" ht="13.5" customHeight="1" x14ac:dyDescent="0.25">
      <c r="A10" s="22">
        <v>4</v>
      </c>
      <c r="B10" s="17" t="s">
        <v>340</v>
      </c>
      <c r="C10" s="2" t="s">
        <v>805</v>
      </c>
      <c r="D10" s="22" t="s">
        <v>375</v>
      </c>
      <c r="E10" s="48">
        <v>90</v>
      </c>
      <c r="F10" s="48">
        <v>70</v>
      </c>
      <c r="G10" s="48">
        <v>86</v>
      </c>
      <c r="H10" s="48">
        <v>96</v>
      </c>
      <c r="I10" s="48">
        <v>84</v>
      </c>
      <c r="J10" s="48">
        <v>93.5</v>
      </c>
      <c r="K10" s="48">
        <v>86</v>
      </c>
      <c r="L10" s="48">
        <v>96</v>
      </c>
      <c r="M10" s="43">
        <v>95</v>
      </c>
      <c r="N10" s="43">
        <v>96</v>
      </c>
      <c r="O10" s="58">
        <f t="shared" si="1"/>
        <v>89.25</v>
      </c>
    </row>
    <row r="11" spans="1:15" s="5" customFormat="1" ht="13.5" customHeight="1" x14ac:dyDescent="0.3">
      <c r="A11" s="22"/>
      <c r="B11" s="17"/>
      <c r="C11" s="2"/>
      <c r="D11" s="22"/>
      <c r="E11" s="30" t="str">
        <f t="shared" ref="E11:N11" si="4">IF(E10&gt;=90,"A",IF(E10&gt;=80,"B",IF(E10&gt;=70,"C",IF(E10&gt;=60,"D","F"))))</f>
        <v>A</v>
      </c>
      <c r="F11" s="30" t="str">
        <f t="shared" si="4"/>
        <v>C</v>
      </c>
      <c r="G11" s="30" t="str">
        <f t="shared" si="4"/>
        <v>B</v>
      </c>
      <c r="H11" s="30" t="str">
        <f t="shared" si="4"/>
        <v>A</v>
      </c>
      <c r="I11" s="30" t="str">
        <f t="shared" si="4"/>
        <v>B</v>
      </c>
      <c r="J11" s="30" t="str">
        <f t="shared" si="4"/>
        <v>A</v>
      </c>
      <c r="K11" s="30" t="str">
        <f t="shared" si="4"/>
        <v>B</v>
      </c>
      <c r="L11" s="30" t="str">
        <f t="shared" si="4"/>
        <v>A</v>
      </c>
      <c r="M11" s="30" t="str">
        <f t="shared" si="4"/>
        <v>A</v>
      </c>
      <c r="N11" s="30" t="str">
        <f t="shared" si="4"/>
        <v>A</v>
      </c>
      <c r="O11" s="58"/>
    </row>
    <row r="12" spans="1:15" s="5" customFormat="1" ht="13.5" customHeight="1" x14ac:dyDescent="0.25">
      <c r="A12" s="22">
        <v>5</v>
      </c>
      <c r="B12" s="17" t="s">
        <v>409</v>
      </c>
      <c r="C12" s="2" t="s">
        <v>806</v>
      </c>
      <c r="D12" s="22" t="s">
        <v>376</v>
      </c>
      <c r="E12" s="48">
        <v>86</v>
      </c>
      <c r="F12" s="62">
        <v>0</v>
      </c>
      <c r="G12" s="48">
        <v>78</v>
      </c>
      <c r="H12" s="48">
        <v>91</v>
      </c>
      <c r="I12" s="48">
        <v>76</v>
      </c>
      <c r="J12" s="48">
        <v>91.5</v>
      </c>
      <c r="K12" s="48">
        <v>83</v>
      </c>
      <c r="L12" s="48">
        <v>74</v>
      </c>
      <c r="M12" s="43">
        <v>94</v>
      </c>
      <c r="N12" s="43">
        <v>94</v>
      </c>
      <c r="O12" s="58">
        <f>AVERAGE(E12,G12,H12,I12,J12,K12,L12,M12,N12)</f>
        <v>85.277777777777771</v>
      </c>
    </row>
    <row r="13" spans="1:15" s="5" customFormat="1" ht="13.5" customHeight="1" x14ac:dyDescent="0.3">
      <c r="A13" s="22"/>
      <c r="B13" s="17"/>
      <c r="C13" s="2"/>
      <c r="D13" s="22"/>
      <c r="E13" s="30" t="str">
        <f>IF(E12&gt;=90,"A",IF(E12&gt;=80,"B",IF(E12&gt;=70,"C",IF(E12&gt;=60,"D","F"))))</f>
        <v>B</v>
      </c>
      <c r="F13" s="61"/>
      <c r="G13" s="30" t="str">
        <f t="shared" ref="G13:N13" si="5">IF(G12&gt;=90,"A",IF(G12&gt;=80,"B",IF(G12&gt;=70,"C",IF(G12&gt;=60,"D","F"))))</f>
        <v>C</v>
      </c>
      <c r="H13" s="30" t="str">
        <f t="shared" si="5"/>
        <v>A</v>
      </c>
      <c r="I13" s="30" t="str">
        <f t="shared" si="5"/>
        <v>C</v>
      </c>
      <c r="J13" s="30" t="str">
        <f t="shared" si="5"/>
        <v>A</v>
      </c>
      <c r="K13" s="30" t="str">
        <f t="shared" si="5"/>
        <v>B</v>
      </c>
      <c r="L13" s="30" t="str">
        <f t="shared" si="5"/>
        <v>C</v>
      </c>
      <c r="M13" s="30" t="str">
        <f t="shared" si="5"/>
        <v>A</v>
      </c>
      <c r="N13" s="30" t="str">
        <f t="shared" si="5"/>
        <v>A</v>
      </c>
      <c r="O13" s="58"/>
    </row>
    <row r="14" spans="1:15" s="5" customFormat="1" ht="13.5" customHeight="1" x14ac:dyDescent="0.25">
      <c r="A14" s="22">
        <v>6</v>
      </c>
      <c r="B14" s="17" t="s">
        <v>341</v>
      </c>
      <c r="C14" s="2" t="s">
        <v>807</v>
      </c>
      <c r="D14" s="22" t="s">
        <v>375</v>
      </c>
      <c r="E14" s="48">
        <v>75</v>
      </c>
      <c r="F14" s="48">
        <v>93</v>
      </c>
      <c r="G14" s="48">
        <v>85</v>
      </c>
      <c r="H14" s="48">
        <v>93</v>
      </c>
      <c r="I14" s="48">
        <v>84</v>
      </c>
      <c r="J14" s="48">
        <v>93.5</v>
      </c>
      <c r="K14" s="48">
        <v>81</v>
      </c>
      <c r="L14" s="48">
        <v>94</v>
      </c>
      <c r="M14" s="43">
        <v>95</v>
      </c>
      <c r="N14" s="43">
        <v>97</v>
      </c>
      <c r="O14" s="58">
        <f t="shared" si="1"/>
        <v>89.05</v>
      </c>
    </row>
    <row r="15" spans="1:15" s="5" customFormat="1" ht="13.5" customHeight="1" x14ac:dyDescent="0.3">
      <c r="A15" s="22"/>
      <c r="B15" s="17"/>
      <c r="C15" s="2"/>
      <c r="D15" s="22"/>
      <c r="E15" s="30" t="str">
        <f t="shared" ref="E15:N15" si="6">IF(E14&gt;=90,"A",IF(E14&gt;=80,"B",IF(E14&gt;=70,"C",IF(E14&gt;=60,"D","F"))))</f>
        <v>C</v>
      </c>
      <c r="F15" s="30" t="str">
        <f t="shared" si="6"/>
        <v>A</v>
      </c>
      <c r="G15" s="30" t="str">
        <f t="shared" si="6"/>
        <v>B</v>
      </c>
      <c r="H15" s="30" t="str">
        <f t="shared" si="6"/>
        <v>A</v>
      </c>
      <c r="I15" s="30" t="str">
        <f t="shared" si="6"/>
        <v>B</v>
      </c>
      <c r="J15" s="30" t="str">
        <f t="shared" si="6"/>
        <v>A</v>
      </c>
      <c r="K15" s="30" t="str">
        <f t="shared" si="6"/>
        <v>B</v>
      </c>
      <c r="L15" s="30" t="str">
        <f t="shared" si="6"/>
        <v>A</v>
      </c>
      <c r="M15" s="30" t="str">
        <f t="shared" si="6"/>
        <v>A</v>
      </c>
      <c r="N15" s="30" t="str">
        <f t="shared" si="6"/>
        <v>A</v>
      </c>
      <c r="O15" s="58"/>
    </row>
    <row r="16" spans="1:15" s="5" customFormat="1" ht="13.5" customHeight="1" x14ac:dyDescent="0.25">
      <c r="A16" s="22">
        <v>7</v>
      </c>
      <c r="B16" s="17" t="s">
        <v>413</v>
      </c>
      <c r="C16" s="2" t="s">
        <v>808</v>
      </c>
      <c r="D16" s="22" t="s">
        <v>376</v>
      </c>
      <c r="E16" s="48">
        <v>90</v>
      </c>
      <c r="F16" s="48">
        <v>90</v>
      </c>
      <c r="G16" s="48">
        <v>93</v>
      </c>
      <c r="H16" s="48">
        <v>98</v>
      </c>
      <c r="I16" s="48">
        <v>92</v>
      </c>
      <c r="J16" s="48">
        <v>97.5</v>
      </c>
      <c r="K16" s="48">
        <v>89</v>
      </c>
      <c r="L16" s="48">
        <v>100</v>
      </c>
      <c r="M16" s="43">
        <v>97</v>
      </c>
      <c r="N16" s="43">
        <v>94</v>
      </c>
      <c r="O16" s="58">
        <f>AVERAGE(F16:N16)</f>
        <v>94.5</v>
      </c>
    </row>
    <row r="17" spans="1:15" s="5" customFormat="1" ht="13.5" customHeight="1" x14ac:dyDescent="0.3">
      <c r="A17" s="22"/>
      <c r="B17" s="17"/>
      <c r="C17" s="2"/>
      <c r="D17" s="22"/>
      <c r="E17" s="30" t="str">
        <f t="shared" ref="E17:N17" si="7">IF(E16&gt;=90,"A",IF(E16&gt;=80,"B",IF(E16&gt;=70,"C",IF(E16&gt;=60,"D","F"))))</f>
        <v>A</v>
      </c>
      <c r="F17" s="30" t="str">
        <f t="shared" si="7"/>
        <v>A</v>
      </c>
      <c r="G17" s="30" t="str">
        <f t="shared" si="7"/>
        <v>A</v>
      </c>
      <c r="H17" s="30" t="str">
        <f t="shared" si="7"/>
        <v>A</v>
      </c>
      <c r="I17" s="30" t="str">
        <f t="shared" si="7"/>
        <v>A</v>
      </c>
      <c r="J17" s="30" t="str">
        <f t="shared" si="7"/>
        <v>A</v>
      </c>
      <c r="K17" s="30" t="str">
        <f t="shared" si="7"/>
        <v>B</v>
      </c>
      <c r="L17" s="30" t="str">
        <f t="shared" si="7"/>
        <v>A</v>
      </c>
      <c r="M17" s="30" t="str">
        <f t="shared" si="7"/>
        <v>A</v>
      </c>
      <c r="N17" s="30" t="str">
        <f t="shared" si="7"/>
        <v>A</v>
      </c>
      <c r="O17" s="58"/>
    </row>
    <row r="18" spans="1:15" s="5" customFormat="1" ht="13.5" customHeight="1" x14ac:dyDescent="0.25">
      <c r="A18" s="22">
        <v>8</v>
      </c>
      <c r="B18" s="17" t="s">
        <v>414</v>
      </c>
      <c r="C18" s="2" t="s">
        <v>809</v>
      </c>
      <c r="D18" s="22" t="s">
        <v>376</v>
      </c>
      <c r="E18" s="48">
        <v>81</v>
      </c>
      <c r="F18" s="48">
        <v>93</v>
      </c>
      <c r="G18" s="48">
        <v>80</v>
      </c>
      <c r="H18" s="48">
        <v>92</v>
      </c>
      <c r="I18" s="48">
        <v>70</v>
      </c>
      <c r="J18" s="48">
        <v>89.5</v>
      </c>
      <c r="K18" s="48">
        <v>91</v>
      </c>
      <c r="L18" s="48">
        <v>81</v>
      </c>
      <c r="M18" s="43">
        <v>94</v>
      </c>
      <c r="N18" s="43">
        <v>94</v>
      </c>
      <c r="O18" s="58">
        <f t="shared" si="1"/>
        <v>86.55</v>
      </c>
    </row>
    <row r="19" spans="1:15" s="5" customFormat="1" ht="13.5" customHeight="1" x14ac:dyDescent="0.3">
      <c r="A19" s="22"/>
      <c r="B19" s="17"/>
      <c r="C19" s="2"/>
      <c r="D19" s="22"/>
      <c r="E19" s="30" t="str">
        <f t="shared" ref="E19:N19" si="8">IF(E18&gt;=90,"A",IF(E18&gt;=80,"B",IF(E18&gt;=70,"C",IF(E18&gt;=60,"D","F"))))</f>
        <v>B</v>
      </c>
      <c r="F19" s="30" t="str">
        <f t="shared" si="8"/>
        <v>A</v>
      </c>
      <c r="G19" s="30" t="str">
        <f t="shared" si="8"/>
        <v>B</v>
      </c>
      <c r="H19" s="30" t="str">
        <f t="shared" si="8"/>
        <v>A</v>
      </c>
      <c r="I19" s="30" t="str">
        <f t="shared" si="8"/>
        <v>C</v>
      </c>
      <c r="J19" s="30" t="str">
        <f t="shared" si="8"/>
        <v>B</v>
      </c>
      <c r="K19" s="30" t="str">
        <f t="shared" si="8"/>
        <v>A</v>
      </c>
      <c r="L19" s="30" t="str">
        <f t="shared" si="8"/>
        <v>B</v>
      </c>
      <c r="M19" s="30" t="str">
        <f t="shared" si="8"/>
        <v>A</v>
      </c>
      <c r="N19" s="30" t="str">
        <f t="shared" si="8"/>
        <v>A</v>
      </c>
      <c r="O19" s="58"/>
    </row>
    <row r="20" spans="1:15" s="5" customFormat="1" ht="13.5" customHeight="1" x14ac:dyDescent="0.25">
      <c r="A20" s="22">
        <v>9</v>
      </c>
      <c r="B20" s="17" t="s">
        <v>46</v>
      </c>
      <c r="C20" s="2" t="s">
        <v>811</v>
      </c>
      <c r="D20" s="22" t="s">
        <v>375</v>
      </c>
      <c r="E20" s="48">
        <v>92</v>
      </c>
      <c r="F20" s="48">
        <v>80</v>
      </c>
      <c r="G20" s="48">
        <v>85</v>
      </c>
      <c r="H20" s="48">
        <v>95</v>
      </c>
      <c r="I20" s="48">
        <v>72</v>
      </c>
      <c r="J20" s="48">
        <v>95.5</v>
      </c>
      <c r="K20" s="48">
        <v>93</v>
      </c>
      <c r="L20" s="48">
        <v>100</v>
      </c>
      <c r="M20" s="43">
        <v>99</v>
      </c>
      <c r="N20" s="43">
        <v>97</v>
      </c>
      <c r="O20" s="58">
        <f t="shared" si="1"/>
        <v>90.85</v>
      </c>
    </row>
    <row r="21" spans="1:15" s="5" customFormat="1" ht="13.5" customHeight="1" x14ac:dyDescent="0.3">
      <c r="A21" s="22"/>
      <c r="B21" s="17"/>
      <c r="D21" s="22"/>
      <c r="E21" s="30" t="str">
        <f t="shared" ref="E21:N21" si="9">IF(E20&gt;=90,"A",IF(E20&gt;=80,"B",IF(E20&gt;=70,"C",IF(E20&gt;=60,"D","F"))))</f>
        <v>A</v>
      </c>
      <c r="F21" s="30" t="str">
        <f t="shared" si="9"/>
        <v>B</v>
      </c>
      <c r="G21" s="30" t="str">
        <f t="shared" si="9"/>
        <v>B</v>
      </c>
      <c r="H21" s="30" t="str">
        <f t="shared" si="9"/>
        <v>A</v>
      </c>
      <c r="I21" s="30" t="str">
        <f t="shared" si="9"/>
        <v>C</v>
      </c>
      <c r="J21" s="30" t="str">
        <f t="shared" si="9"/>
        <v>A</v>
      </c>
      <c r="K21" s="30" t="str">
        <f t="shared" si="9"/>
        <v>A</v>
      </c>
      <c r="L21" s="30" t="str">
        <f t="shared" si="9"/>
        <v>A</v>
      </c>
      <c r="M21" s="30" t="str">
        <f t="shared" si="9"/>
        <v>A</v>
      </c>
      <c r="N21" s="30" t="str">
        <f t="shared" si="9"/>
        <v>A</v>
      </c>
      <c r="O21" s="58"/>
    </row>
    <row r="22" spans="1:15" s="5" customFormat="1" ht="13.5" customHeight="1" x14ac:dyDescent="0.25">
      <c r="A22" s="22">
        <v>10</v>
      </c>
      <c r="B22" s="17" t="s">
        <v>342</v>
      </c>
      <c r="C22" s="2" t="s">
        <v>810</v>
      </c>
      <c r="D22" s="22" t="s">
        <v>376</v>
      </c>
      <c r="E22" s="22">
        <v>80</v>
      </c>
      <c r="F22" s="62">
        <v>0</v>
      </c>
      <c r="G22" s="48">
        <v>71</v>
      </c>
      <c r="H22" s="48">
        <v>76</v>
      </c>
      <c r="I22" s="48">
        <v>60</v>
      </c>
      <c r="J22" s="48">
        <v>76.5</v>
      </c>
      <c r="K22" s="48">
        <v>78</v>
      </c>
      <c r="L22" s="48">
        <v>82</v>
      </c>
      <c r="M22" s="43">
        <v>86</v>
      </c>
      <c r="N22" s="43">
        <v>96</v>
      </c>
      <c r="O22" s="58">
        <f t="shared" si="1"/>
        <v>70.55</v>
      </c>
    </row>
    <row r="23" spans="1:15" s="5" customFormat="1" ht="13.5" customHeight="1" x14ac:dyDescent="0.3">
      <c r="A23" s="22"/>
      <c r="B23" s="17"/>
      <c r="C23" s="2"/>
      <c r="D23" s="22"/>
      <c r="E23" s="30" t="str">
        <f>IF(E22&gt;=90,"A",IF(E22&gt;=80,"B",IF(E22&gt;=70,"C",IF(E22&gt;=60,"D","F"))))</f>
        <v>B</v>
      </c>
      <c r="F23" s="61"/>
      <c r="G23" s="30" t="str">
        <f t="shared" ref="G23:N23" si="10">IF(G22&gt;=90,"A",IF(G22&gt;=80,"B",IF(G22&gt;=70,"C",IF(G22&gt;=60,"D","F"))))</f>
        <v>C</v>
      </c>
      <c r="H23" s="30" t="str">
        <f t="shared" si="10"/>
        <v>C</v>
      </c>
      <c r="I23" s="30" t="str">
        <f t="shared" si="10"/>
        <v>D</v>
      </c>
      <c r="J23" s="30" t="str">
        <f t="shared" si="10"/>
        <v>C</v>
      </c>
      <c r="K23" s="30" t="str">
        <f t="shared" si="10"/>
        <v>C</v>
      </c>
      <c r="L23" s="30" t="str">
        <f t="shared" si="10"/>
        <v>B</v>
      </c>
      <c r="M23" s="30" t="str">
        <f t="shared" si="10"/>
        <v>B</v>
      </c>
      <c r="N23" s="30" t="str">
        <f t="shared" si="10"/>
        <v>A</v>
      </c>
      <c r="O23" s="58"/>
    </row>
    <row r="24" spans="1:15" s="5" customFormat="1" ht="13.5" customHeight="1" x14ac:dyDescent="0.25">
      <c r="A24" s="22">
        <v>11</v>
      </c>
      <c r="B24" s="17" t="s">
        <v>343</v>
      </c>
      <c r="C24" s="2" t="s">
        <v>812</v>
      </c>
      <c r="D24" s="22" t="s">
        <v>375</v>
      </c>
      <c r="E24" s="48">
        <v>94</v>
      </c>
      <c r="F24" s="62">
        <v>0</v>
      </c>
      <c r="G24" s="48">
        <v>77</v>
      </c>
      <c r="H24" s="48">
        <v>90</v>
      </c>
      <c r="I24" s="48">
        <v>66</v>
      </c>
      <c r="J24" s="48">
        <v>86.5</v>
      </c>
      <c r="K24" s="48">
        <v>89</v>
      </c>
      <c r="L24" s="48">
        <v>100</v>
      </c>
      <c r="M24" s="43">
        <v>96</v>
      </c>
      <c r="N24" s="43">
        <v>100</v>
      </c>
      <c r="O24" s="58">
        <f t="shared" si="1"/>
        <v>79.849999999999994</v>
      </c>
    </row>
    <row r="25" spans="1:15" s="5" customFormat="1" ht="13.5" customHeight="1" x14ac:dyDescent="0.3">
      <c r="A25" s="22"/>
      <c r="B25" s="17"/>
      <c r="C25" s="2"/>
      <c r="D25" s="22"/>
      <c r="E25" s="30" t="str">
        <f>IF(E24&gt;=90,"A",IF(E24&gt;=80,"B",IF(E24&gt;=70,"C",IF(E24&gt;=60,"D","F"))))</f>
        <v>A</v>
      </c>
      <c r="F25" s="61"/>
      <c r="G25" s="30" t="str">
        <f t="shared" ref="G25:N25" si="11">IF(G24&gt;=90,"A",IF(G24&gt;=80,"B",IF(G24&gt;=70,"C",IF(G24&gt;=60,"D","F"))))</f>
        <v>C</v>
      </c>
      <c r="H25" s="30" t="str">
        <f t="shared" si="11"/>
        <v>A</v>
      </c>
      <c r="I25" s="30" t="str">
        <f t="shared" si="11"/>
        <v>D</v>
      </c>
      <c r="J25" s="30" t="str">
        <f t="shared" si="11"/>
        <v>B</v>
      </c>
      <c r="K25" s="30" t="str">
        <f t="shared" si="11"/>
        <v>B</v>
      </c>
      <c r="L25" s="30" t="str">
        <f t="shared" si="11"/>
        <v>A</v>
      </c>
      <c r="M25" s="30" t="str">
        <f t="shared" si="11"/>
        <v>A</v>
      </c>
      <c r="N25" s="30" t="str">
        <f t="shared" si="11"/>
        <v>A</v>
      </c>
      <c r="O25" s="58"/>
    </row>
    <row r="26" spans="1:15" s="5" customFormat="1" ht="13.5" customHeight="1" x14ac:dyDescent="0.25">
      <c r="A26" s="22">
        <v>12</v>
      </c>
      <c r="B26" s="17" t="s">
        <v>58</v>
      </c>
      <c r="C26" s="2" t="s">
        <v>813</v>
      </c>
      <c r="D26" s="14" t="s">
        <v>375</v>
      </c>
      <c r="E26" s="48">
        <v>84</v>
      </c>
      <c r="F26" s="48">
        <v>92</v>
      </c>
      <c r="G26" s="48">
        <v>87</v>
      </c>
      <c r="H26" s="48">
        <v>99</v>
      </c>
      <c r="I26" s="48">
        <v>86</v>
      </c>
      <c r="J26" s="48">
        <v>99</v>
      </c>
      <c r="K26" s="48">
        <v>84</v>
      </c>
      <c r="L26" s="48">
        <v>80</v>
      </c>
      <c r="M26" s="43">
        <v>91</v>
      </c>
      <c r="N26" s="43">
        <v>97</v>
      </c>
      <c r="O26" s="58">
        <f t="shared" si="1"/>
        <v>89.9</v>
      </c>
    </row>
    <row r="27" spans="1:15" s="5" customFormat="1" ht="13.5" customHeight="1" x14ac:dyDescent="0.3">
      <c r="A27" s="22"/>
      <c r="B27" s="17"/>
      <c r="C27" s="2"/>
      <c r="D27" s="14"/>
      <c r="E27" s="30" t="str">
        <f t="shared" ref="E27:N27" si="12">IF(E26&gt;=90,"A",IF(E26&gt;=80,"B",IF(E26&gt;=70,"C",IF(E26&gt;=60,"D","F"))))</f>
        <v>B</v>
      </c>
      <c r="F27" s="30" t="str">
        <f t="shared" si="12"/>
        <v>A</v>
      </c>
      <c r="G27" s="30" t="str">
        <f t="shared" si="12"/>
        <v>B</v>
      </c>
      <c r="H27" s="30" t="str">
        <f t="shared" si="12"/>
        <v>A</v>
      </c>
      <c r="I27" s="30" t="str">
        <f t="shared" si="12"/>
        <v>B</v>
      </c>
      <c r="J27" s="30" t="str">
        <f t="shared" si="12"/>
        <v>A</v>
      </c>
      <c r="K27" s="30" t="str">
        <f t="shared" si="12"/>
        <v>B</v>
      </c>
      <c r="L27" s="30" t="str">
        <f t="shared" si="12"/>
        <v>B</v>
      </c>
      <c r="M27" s="30" t="str">
        <f t="shared" si="12"/>
        <v>A</v>
      </c>
      <c r="N27" s="30" t="str">
        <f t="shared" si="12"/>
        <v>A</v>
      </c>
      <c r="O27" s="58"/>
    </row>
    <row r="28" spans="1:15" s="5" customFormat="1" ht="13.5" customHeight="1" x14ac:dyDescent="0.25">
      <c r="A28" s="22">
        <v>13</v>
      </c>
      <c r="B28" s="17" t="s">
        <v>344</v>
      </c>
      <c r="C28" s="2" t="s">
        <v>814</v>
      </c>
      <c r="D28" s="14" t="s">
        <v>375</v>
      </c>
      <c r="E28" s="48">
        <v>75</v>
      </c>
      <c r="F28" s="48">
        <v>87</v>
      </c>
      <c r="G28" s="48">
        <v>82</v>
      </c>
      <c r="H28" s="48">
        <v>91</v>
      </c>
      <c r="I28" s="48">
        <v>76</v>
      </c>
      <c r="J28" s="48">
        <v>90</v>
      </c>
      <c r="K28" s="48">
        <v>81</v>
      </c>
      <c r="L28" s="48">
        <v>85</v>
      </c>
      <c r="M28" s="43">
        <v>89</v>
      </c>
      <c r="N28" s="43">
        <v>96</v>
      </c>
      <c r="O28" s="58">
        <f t="shared" si="1"/>
        <v>85.2</v>
      </c>
    </row>
    <row r="29" spans="1:15" s="5" customFormat="1" ht="13.5" customHeight="1" x14ac:dyDescent="0.3">
      <c r="A29" s="22"/>
      <c r="B29" s="17"/>
      <c r="C29" s="2"/>
      <c r="D29" s="14"/>
      <c r="E29" s="30" t="str">
        <f t="shared" ref="E29:N29" si="13">IF(E28&gt;=90,"A",IF(E28&gt;=80,"B",IF(E28&gt;=70,"C",IF(E28&gt;=60,"D","F"))))</f>
        <v>C</v>
      </c>
      <c r="F29" s="30" t="str">
        <f t="shared" si="13"/>
        <v>B</v>
      </c>
      <c r="G29" s="30" t="str">
        <f t="shared" si="13"/>
        <v>B</v>
      </c>
      <c r="H29" s="30" t="str">
        <f t="shared" si="13"/>
        <v>A</v>
      </c>
      <c r="I29" s="30" t="str">
        <f t="shared" si="13"/>
        <v>C</v>
      </c>
      <c r="J29" s="30" t="str">
        <f t="shared" si="13"/>
        <v>A</v>
      </c>
      <c r="K29" s="30" t="str">
        <f t="shared" si="13"/>
        <v>B</v>
      </c>
      <c r="L29" s="30" t="str">
        <f t="shared" si="13"/>
        <v>B</v>
      </c>
      <c r="M29" s="30" t="str">
        <f t="shared" si="13"/>
        <v>B</v>
      </c>
      <c r="N29" s="30" t="str">
        <f t="shared" si="13"/>
        <v>A</v>
      </c>
      <c r="O29" s="58"/>
    </row>
    <row r="30" spans="1:15" x14ac:dyDescent="0.25">
      <c r="A30" s="22">
        <v>14</v>
      </c>
      <c r="B30" s="17" t="s">
        <v>47</v>
      </c>
      <c r="C30" s="2" t="s">
        <v>815</v>
      </c>
      <c r="D30" s="22" t="s">
        <v>375</v>
      </c>
      <c r="E30" s="29">
        <v>90</v>
      </c>
      <c r="F30" s="29">
        <v>58</v>
      </c>
      <c r="G30" s="29">
        <v>74</v>
      </c>
      <c r="H30" s="29">
        <v>85</v>
      </c>
      <c r="I30" s="29">
        <v>68</v>
      </c>
      <c r="J30" s="29">
        <v>80</v>
      </c>
      <c r="K30" s="29">
        <v>85</v>
      </c>
      <c r="L30" s="29">
        <v>95</v>
      </c>
      <c r="M30" s="43">
        <v>91</v>
      </c>
      <c r="N30" s="43">
        <v>94</v>
      </c>
      <c r="O30" s="58">
        <f t="shared" si="1"/>
        <v>82</v>
      </c>
    </row>
    <row r="31" spans="1:15" ht="15.75" x14ac:dyDescent="0.3">
      <c r="A31" s="25"/>
      <c r="B31" s="20"/>
      <c r="C31" s="20"/>
      <c r="D31" s="6"/>
      <c r="E31" s="30" t="str">
        <f t="shared" ref="E31:N31" si="14">IF(E30&gt;=90,"A",IF(E30&gt;=80,"B",IF(E30&gt;=70,"C",IF(E30&gt;=60,"D","F"))))</f>
        <v>A</v>
      </c>
      <c r="F31" s="30" t="str">
        <f t="shared" si="14"/>
        <v>F</v>
      </c>
      <c r="G31" s="30" t="str">
        <f t="shared" si="14"/>
        <v>C</v>
      </c>
      <c r="H31" s="30" t="str">
        <f t="shared" si="14"/>
        <v>B</v>
      </c>
      <c r="I31" s="30" t="str">
        <f t="shared" si="14"/>
        <v>D</v>
      </c>
      <c r="J31" s="30" t="str">
        <f t="shared" si="14"/>
        <v>B</v>
      </c>
      <c r="K31" s="30" t="str">
        <f t="shared" si="14"/>
        <v>B</v>
      </c>
      <c r="L31" s="30" t="str">
        <f t="shared" si="14"/>
        <v>A</v>
      </c>
      <c r="M31" s="30" t="str">
        <f t="shared" si="14"/>
        <v>A</v>
      </c>
      <c r="N31" s="30" t="str">
        <f t="shared" si="14"/>
        <v>A</v>
      </c>
      <c r="O31" s="3"/>
    </row>
  </sheetData>
  <sheetProtection formatCells="0" formatColumns="0" formatRows="0" insertColumns="0" insertRows="0" insertHyperlinks="0" deleteColumns="0" deleteRows="0" sort="0" autoFilter="0" pivotTables="0"/>
  <autoFilter ref="A1:D28" xr:uid="{00000000-0009-0000-0000-000026000000}">
    <filterColumn colId="0" showButton="0"/>
  </autoFilter>
  <mergeCells count="1">
    <mergeCell ref="A1:B2"/>
  </mergeCells>
  <pageMargins left="0.23" right="0.17" top="0.83" bottom="0" header="0.17" footer="0.3"/>
  <pageSetup paperSize="9" orientation="landscape" r:id="rId1"/>
  <headerFooter>
    <oddFooter xml:space="preserve">&amp;C
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11"/>
  <sheetViews>
    <sheetView zoomScaleNormal="100" workbookViewId="0">
      <selection activeCell="D5" sqref="D5"/>
    </sheetView>
  </sheetViews>
  <sheetFormatPr defaultRowHeight="15" x14ac:dyDescent="0.25"/>
  <cols>
    <col min="1" max="1" width="6" style="13" customWidth="1"/>
    <col min="2" max="2" width="22.85546875" style="28" customWidth="1"/>
    <col min="3" max="3" width="6" style="7" customWidth="1"/>
    <col min="4" max="4" width="13.28515625" style="46" customWidth="1"/>
    <col min="5" max="5" width="12.5703125" style="46" bestFit="1" customWidth="1"/>
    <col min="6" max="6" width="10.140625" style="46" customWidth="1"/>
    <col min="7" max="8" width="10.28515625" style="46" customWidth="1"/>
    <col min="9" max="16384" width="9.140625" style="2"/>
  </cols>
  <sheetData>
    <row r="1" spans="1:10" ht="6" customHeight="1" x14ac:dyDescent="0.25">
      <c r="A1" s="85" t="s">
        <v>449</v>
      </c>
      <c r="B1" s="86"/>
    </row>
    <row r="2" spans="1:10" ht="10.5" customHeight="1" x14ac:dyDescent="0.25">
      <c r="A2" s="87"/>
      <c r="B2" s="88"/>
    </row>
    <row r="3" spans="1:10" s="79" customFormat="1" ht="25.5" customHeight="1" x14ac:dyDescent="0.25">
      <c r="A3" s="68" t="s">
        <v>0</v>
      </c>
      <c r="B3" s="69" t="s">
        <v>1</v>
      </c>
      <c r="C3" s="71" t="s">
        <v>2</v>
      </c>
      <c r="D3" s="71" t="s">
        <v>829</v>
      </c>
      <c r="E3" s="71" t="s">
        <v>456</v>
      </c>
      <c r="F3" s="71" t="s">
        <v>440</v>
      </c>
      <c r="G3" s="71" t="s">
        <v>441</v>
      </c>
      <c r="H3" s="71" t="s">
        <v>445</v>
      </c>
      <c r="I3" s="71" t="s">
        <v>438</v>
      </c>
      <c r="J3" s="73" t="s">
        <v>428</v>
      </c>
    </row>
    <row r="4" spans="1:10" s="5" customFormat="1" ht="13.5" customHeight="1" x14ac:dyDescent="0.2">
      <c r="A4" s="22">
        <v>1</v>
      </c>
      <c r="B4" s="16" t="s">
        <v>345</v>
      </c>
      <c r="C4" s="22" t="s">
        <v>375</v>
      </c>
      <c r="D4" s="48">
        <v>77</v>
      </c>
      <c r="E4" s="48">
        <v>90</v>
      </c>
      <c r="F4" s="48">
        <v>71</v>
      </c>
      <c r="G4" s="48">
        <v>74</v>
      </c>
      <c r="H4" s="48">
        <v>93</v>
      </c>
      <c r="I4" s="43">
        <v>100</v>
      </c>
      <c r="J4" s="58">
        <f>AVERAGE(C4:I4)</f>
        <v>84.166666666666671</v>
      </c>
    </row>
    <row r="5" spans="1:10" s="5" customFormat="1" ht="13.5" customHeight="1" x14ac:dyDescent="0.3">
      <c r="A5" s="22"/>
      <c r="B5" s="16"/>
      <c r="C5" s="22"/>
      <c r="D5" s="30" t="str">
        <f t="shared" ref="D5:I5" si="0">IF(D4&gt;=90,"A",IF(D4&gt;=80,"B",IF(D4&gt;=70,"C",IF(D4&gt;=60,"D","F"))))</f>
        <v>C</v>
      </c>
      <c r="E5" s="30" t="str">
        <f t="shared" si="0"/>
        <v>A</v>
      </c>
      <c r="F5" s="30" t="str">
        <f t="shared" si="0"/>
        <v>C</v>
      </c>
      <c r="G5" s="30" t="str">
        <f t="shared" si="0"/>
        <v>C</v>
      </c>
      <c r="H5" s="30" t="str">
        <f t="shared" si="0"/>
        <v>A</v>
      </c>
      <c r="I5" s="30" t="str">
        <f t="shared" si="0"/>
        <v>A</v>
      </c>
      <c r="J5" s="58"/>
    </row>
    <row r="6" spans="1:10" s="5" customFormat="1" ht="13.5" customHeight="1" x14ac:dyDescent="0.2">
      <c r="A6" s="22">
        <v>2</v>
      </c>
      <c r="B6" s="16" t="s">
        <v>331</v>
      </c>
      <c r="C6" s="22" t="s">
        <v>376</v>
      </c>
      <c r="D6" s="48">
        <v>82</v>
      </c>
      <c r="E6" s="48">
        <v>92</v>
      </c>
      <c r="F6" s="48">
        <v>90</v>
      </c>
      <c r="G6" s="48">
        <v>88</v>
      </c>
      <c r="H6" s="48">
        <v>93</v>
      </c>
      <c r="I6" s="43">
        <v>93</v>
      </c>
      <c r="J6" s="58">
        <f t="shared" ref="J6:J10" si="1">AVERAGE(C6:I6)</f>
        <v>89.666666666666671</v>
      </c>
    </row>
    <row r="7" spans="1:10" s="5" customFormat="1" ht="13.5" customHeight="1" x14ac:dyDescent="0.3">
      <c r="A7" s="22"/>
      <c r="B7" s="16"/>
      <c r="C7" s="22"/>
      <c r="D7" s="30" t="str">
        <f t="shared" ref="D7:I7" si="2">IF(D6&gt;=90,"A",IF(D6&gt;=80,"B",IF(D6&gt;=70,"C",IF(D6&gt;=60,"D","F"))))</f>
        <v>B</v>
      </c>
      <c r="E7" s="30" t="str">
        <f t="shared" si="2"/>
        <v>A</v>
      </c>
      <c r="F7" s="30" t="str">
        <f t="shared" si="2"/>
        <v>A</v>
      </c>
      <c r="G7" s="30" t="str">
        <f t="shared" si="2"/>
        <v>B</v>
      </c>
      <c r="H7" s="30" t="str">
        <f t="shared" si="2"/>
        <v>A</v>
      </c>
      <c r="I7" s="30" t="str">
        <f t="shared" si="2"/>
        <v>A</v>
      </c>
      <c r="J7" s="58"/>
    </row>
    <row r="8" spans="1:10" s="5" customFormat="1" ht="13.5" customHeight="1" x14ac:dyDescent="0.2">
      <c r="A8" s="22">
        <v>3</v>
      </c>
      <c r="B8" s="17" t="s">
        <v>398</v>
      </c>
      <c r="C8" s="22" t="s">
        <v>376</v>
      </c>
      <c r="D8" s="48">
        <v>75</v>
      </c>
      <c r="E8" s="48">
        <v>70</v>
      </c>
      <c r="F8" s="48">
        <v>80</v>
      </c>
      <c r="G8" s="48">
        <v>89</v>
      </c>
      <c r="H8" s="48">
        <v>90</v>
      </c>
      <c r="I8" s="43">
        <v>98</v>
      </c>
      <c r="J8" s="58">
        <f t="shared" si="1"/>
        <v>83.666666666666671</v>
      </c>
    </row>
    <row r="9" spans="1:10" s="5" customFormat="1" ht="13.5" customHeight="1" x14ac:dyDescent="0.3">
      <c r="A9" s="22"/>
      <c r="B9" s="17"/>
      <c r="C9" s="22"/>
      <c r="D9" s="30" t="str">
        <f t="shared" ref="D9:I9" si="3">IF(D8&gt;=90,"A",IF(D8&gt;=80,"B",IF(D8&gt;=70,"C",IF(D8&gt;=60,"D","F"))))</f>
        <v>C</v>
      </c>
      <c r="E9" s="30" t="str">
        <f t="shared" si="3"/>
        <v>C</v>
      </c>
      <c r="F9" s="30" t="str">
        <f t="shared" si="3"/>
        <v>B</v>
      </c>
      <c r="G9" s="30" t="str">
        <f t="shared" si="3"/>
        <v>B</v>
      </c>
      <c r="H9" s="30" t="str">
        <f t="shared" si="3"/>
        <v>A</v>
      </c>
      <c r="I9" s="30" t="str">
        <f t="shared" si="3"/>
        <v>A</v>
      </c>
      <c r="J9" s="58"/>
    </row>
    <row r="10" spans="1:10" s="5" customFormat="1" ht="13.5" customHeight="1" x14ac:dyDescent="0.2">
      <c r="A10" s="22">
        <v>4</v>
      </c>
      <c r="B10" s="16" t="s">
        <v>346</v>
      </c>
      <c r="C10" s="22" t="s">
        <v>375</v>
      </c>
      <c r="D10" s="48">
        <v>95</v>
      </c>
      <c r="E10" s="48">
        <v>93</v>
      </c>
      <c r="F10" s="48">
        <v>93</v>
      </c>
      <c r="G10" s="48">
        <v>94</v>
      </c>
      <c r="H10" s="48">
        <v>97</v>
      </c>
      <c r="I10" s="43">
        <v>97</v>
      </c>
      <c r="J10" s="58">
        <f t="shared" si="1"/>
        <v>94.833333333333329</v>
      </c>
    </row>
    <row r="11" spans="1:10" ht="15.75" x14ac:dyDescent="0.3">
      <c r="A11" s="25"/>
      <c r="B11" s="20"/>
      <c r="C11" s="6"/>
      <c r="D11" s="30" t="str">
        <f t="shared" ref="D11:I11" si="4">IF(D10&gt;=90,"A",IF(D10&gt;=80,"B",IF(D10&gt;=70,"C",IF(D10&gt;=60,"D","F"))))</f>
        <v>A</v>
      </c>
      <c r="E11" s="30" t="str">
        <f t="shared" si="4"/>
        <v>A</v>
      </c>
      <c r="F11" s="30" t="str">
        <f t="shared" si="4"/>
        <v>A</v>
      </c>
      <c r="G11" s="30" t="str">
        <f t="shared" si="4"/>
        <v>A</v>
      </c>
      <c r="H11" s="30" t="str">
        <f t="shared" si="4"/>
        <v>A</v>
      </c>
      <c r="I11" s="30" t="str">
        <f t="shared" si="4"/>
        <v>A</v>
      </c>
      <c r="J11" s="3"/>
    </row>
  </sheetData>
  <sheetProtection formatCells="0" formatColumns="0" formatRows="0" insertColumns="0" insertRows="0" insertHyperlinks="0" deleteColumns="0" deleteRows="0" sort="0" autoFilter="0" pivotTables="0"/>
  <autoFilter ref="A1:C10" xr:uid="{00000000-0009-0000-0000-000028000000}">
    <filterColumn colId="0" showButton="0"/>
  </autoFilter>
  <mergeCells count="1">
    <mergeCell ref="A1:B2"/>
  </mergeCells>
  <pageMargins left="0.23" right="0.17" top="0.83" bottom="0" header="0.17" footer="0.3"/>
  <pageSetup paperSize="9" orientation="landscape" r:id="rId1"/>
  <headerFooter>
    <oddFooter xml:space="preserve">&amp;C
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9"/>
  <sheetViews>
    <sheetView zoomScaleNormal="100" workbookViewId="0">
      <selection activeCell="J14" sqref="J14"/>
    </sheetView>
  </sheetViews>
  <sheetFormatPr defaultRowHeight="15" x14ac:dyDescent="0.25"/>
  <cols>
    <col min="1" max="1" width="6" style="13" customWidth="1"/>
    <col min="2" max="2" width="22.85546875" style="28" customWidth="1"/>
    <col min="3" max="3" width="6" style="7" customWidth="1"/>
    <col min="4" max="4" width="14.42578125" style="46" customWidth="1"/>
    <col min="5" max="5" width="10.28515625" style="46" customWidth="1"/>
    <col min="6" max="6" width="12.5703125" style="46" bestFit="1" customWidth="1"/>
    <col min="7" max="8" width="10.28515625" style="46" customWidth="1"/>
    <col min="9" max="9" width="10" style="2" bestFit="1" customWidth="1"/>
    <col min="10" max="16384" width="9.140625" style="2"/>
  </cols>
  <sheetData>
    <row r="1" spans="1:12" ht="6" customHeight="1" x14ac:dyDescent="0.25">
      <c r="A1" s="85" t="s">
        <v>347</v>
      </c>
      <c r="B1" s="86"/>
    </row>
    <row r="2" spans="1:12" ht="10.5" customHeight="1" x14ac:dyDescent="0.25">
      <c r="A2" s="87"/>
      <c r="B2" s="88"/>
    </row>
    <row r="3" spans="1:12" s="44" customFormat="1" ht="25.5" customHeight="1" x14ac:dyDescent="0.25">
      <c r="A3" s="73" t="s">
        <v>0</v>
      </c>
      <c r="B3" s="73" t="s">
        <v>1</v>
      </c>
      <c r="C3" s="73" t="s">
        <v>2</v>
      </c>
      <c r="D3" s="73" t="s">
        <v>829</v>
      </c>
      <c r="E3" s="73" t="s">
        <v>448</v>
      </c>
      <c r="F3" s="73" t="s">
        <v>456</v>
      </c>
      <c r="G3" s="73" t="s">
        <v>439</v>
      </c>
      <c r="H3" s="73" t="s">
        <v>440</v>
      </c>
      <c r="I3" s="73" t="s">
        <v>441</v>
      </c>
      <c r="J3" s="73" t="s">
        <v>445</v>
      </c>
      <c r="K3" s="73" t="s">
        <v>438</v>
      </c>
      <c r="L3" s="73" t="s">
        <v>428</v>
      </c>
    </row>
    <row r="4" spans="1:12" s="5" customFormat="1" ht="13.5" customHeight="1" x14ac:dyDescent="0.2">
      <c r="A4" s="22">
        <v>1</v>
      </c>
      <c r="B4" s="16" t="s">
        <v>348</v>
      </c>
      <c r="C4" s="22" t="s">
        <v>376</v>
      </c>
      <c r="D4" s="48">
        <v>93</v>
      </c>
      <c r="E4" s="48">
        <v>100</v>
      </c>
      <c r="F4" s="48">
        <v>99</v>
      </c>
      <c r="G4" s="48">
        <v>91</v>
      </c>
      <c r="H4" s="48">
        <v>92</v>
      </c>
      <c r="I4" s="43">
        <v>90</v>
      </c>
      <c r="J4" s="43">
        <v>97</v>
      </c>
      <c r="K4" s="43">
        <v>100</v>
      </c>
      <c r="L4" s="58">
        <f>AVERAGE(E4:K4)</f>
        <v>95.571428571428569</v>
      </c>
    </row>
    <row r="5" spans="1:12" s="5" customFormat="1" ht="13.5" customHeight="1" x14ac:dyDescent="0.3">
      <c r="A5" s="22"/>
      <c r="B5" s="16"/>
      <c r="C5" s="22"/>
      <c r="D5" s="30" t="str">
        <f t="shared" ref="D5:K5" si="0">IF(D4&gt;=90,"A",IF(D4&gt;=80,"B",IF(D4&gt;=70,"C",IF(D4&gt;=60,"D","F"))))</f>
        <v>A</v>
      </c>
      <c r="E5" s="30" t="str">
        <f t="shared" si="0"/>
        <v>A</v>
      </c>
      <c r="F5" s="30" t="str">
        <f t="shared" si="0"/>
        <v>A</v>
      </c>
      <c r="G5" s="30" t="str">
        <f t="shared" si="0"/>
        <v>A</v>
      </c>
      <c r="H5" s="30" t="str">
        <f t="shared" si="0"/>
        <v>A</v>
      </c>
      <c r="I5" s="30" t="str">
        <f t="shared" si="0"/>
        <v>A</v>
      </c>
      <c r="J5" s="30" t="str">
        <f t="shared" si="0"/>
        <v>A</v>
      </c>
      <c r="K5" s="30" t="str">
        <f t="shared" si="0"/>
        <v>A</v>
      </c>
      <c r="L5" s="58"/>
    </row>
    <row r="6" spans="1:12" s="5" customFormat="1" ht="13.5" customHeight="1" x14ac:dyDescent="0.2">
      <c r="A6" s="22">
        <v>2</v>
      </c>
      <c r="B6" s="16" t="s">
        <v>356</v>
      </c>
      <c r="C6" s="22" t="s">
        <v>376</v>
      </c>
      <c r="D6" s="62" t="s">
        <v>430</v>
      </c>
      <c r="E6" s="62" t="s">
        <v>430</v>
      </c>
      <c r="F6" s="62" t="s">
        <v>430</v>
      </c>
      <c r="G6" s="62" t="s">
        <v>430</v>
      </c>
      <c r="H6" s="62" t="s">
        <v>430</v>
      </c>
      <c r="I6" s="62" t="s">
        <v>430</v>
      </c>
      <c r="J6" s="43">
        <v>95</v>
      </c>
      <c r="K6" s="43">
        <v>100</v>
      </c>
      <c r="L6" s="58">
        <f>AVERAGE(J6:K6)</f>
        <v>97.5</v>
      </c>
    </row>
    <row r="7" spans="1:12" s="5" customFormat="1" ht="13.5" customHeight="1" x14ac:dyDescent="0.3">
      <c r="A7" s="22"/>
      <c r="B7" s="16"/>
      <c r="C7" s="22"/>
      <c r="D7" s="62" t="s">
        <v>430</v>
      </c>
      <c r="E7" s="62" t="s">
        <v>430</v>
      </c>
      <c r="F7" s="62" t="s">
        <v>430</v>
      </c>
      <c r="G7" s="62" t="s">
        <v>430</v>
      </c>
      <c r="H7" s="62" t="s">
        <v>430</v>
      </c>
      <c r="I7" s="62" t="s">
        <v>430</v>
      </c>
      <c r="J7" s="30" t="str">
        <f>IF(J6&gt;=90,"A",IF(J6&gt;=80,"B",IF(J6&gt;=70,"C",IF(J6&gt;=60,"D","F"))))</f>
        <v>A</v>
      </c>
      <c r="K7" s="30" t="str">
        <f>IF(K6&gt;=90,"A",IF(K6&gt;=80,"B",IF(K6&gt;=70,"C",IF(K6&gt;=60,"D","F"))))</f>
        <v>A</v>
      </c>
      <c r="L7" s="58"/>
    </row>
    <row r="8" spans="1:12" s="5" customFormat="1" ht="13.5" customHeight="1" x14ac:dyDescent="0.2">
      <c r="A8" s="22">
        <v>3</v>
      </c>
      <c r="B8" s="16" t="s">
        <v>349</v>
      </c>
      <c r="C8" s="22" t="s">
        <v>376</v>
      </c>
      <c r="D8" s="48">
        <v>94</v>
      </c>
      <c r="E8" s="48">
        <v>100</v>
      </c>
      <c r="F8" s="48">
        <v>100</v>
      </c>
      <c r="G8" s="48">
        <v>97</v>
      </c>
      <c r="H8" s="48">
        <v>97</v>
      </c>
      <c r="I8" s="43">
        <v>100</v>
      </c>
      <c r="J8" s="43">
        <v>97</v>
      </c>
      <c r="K8" s="43">
        <v>100</v>
      </c>
      <c r="L8" s="58">
        <f t="shared" ref="L8" si="1">AVERAGE(E8:K8)</f>
        <v>98.714285714285708</v>
      </c>
    </row>
    <row r="9" spans="1:12" ht="15.75" x14ac:dyDescent="0.3">
      <c r="A9" s="25"/>
      <c r="B9" s="20"/>
      <c r="C9" s="6"/>
      <c r="D9" s="30" t="str">
        <f t="shared" ref="D9:K9" si="2">IF(D8&gt;=90,"A",IF(D8&gt;=80,"B",IF(D8&gt;=70,"C",IF(D8&gt;=60,"D","F"))))</f>
        <v>A</v>
      </c>
      <c r="E9" s="30" t="str">
        <f t="shared" si="2"/>
        <v>A</v>
      </c>
      <c r="F9" s="30" t="str">
        <f t="shared" si="2"/>
        <v>A</v>
      </c>
      <c r="G9" s="30" t="str">
        <f t="shared" si="2"/>
        <v>A</v>
      </c>
      <c r="H9" s="30" t="str">
        <f t="shared" si="2"/>
        <v>A</v>
      </c>
      <c r="I9" s="30" t="str">
        <f t="shared" si="2"/>
        <v>A</v>
      </c>
      <c r="J9" s="30" t="str">
        <f t="shared" si="2"/>
        <v>A</v>
      </c>
      <c r="K9" s="30" t="str">
        <f t="shared" si="2"/>
        <v>A</v>
      </c>
      <c r="L9" s="3"/>
    </row>
  </sheetData>
  <sheetProtection formatCells="0" formatColumns="0" formatRows="0" insertColumns="0" insertRows="0" insertHyperlinks="0" deleteColumns="0" deleteRows="0" sort="0" autoFilter="0" pivotTables="0"/>
  <autoFilter ref="A1:C8" xr:uid="{00000000-0009-0000-0000-00002A000000}">
    <filterColumn colId="0" showButton="0"/>
  </autoFilter>
  <mergeCells count="1">
    <mergeCell ref="A1:B2"/>
  </mergeCells>
  <pageMargins left="0.23" right="0.17" top="0.83" bottom="0" header="0.17" footer="0.3"/>
  <pageSetup paperSize="9" orientation="landscape" r:id="rId1"/>
  <headerFooter>
    <oddFooter xml:space="preserve">&amp;C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15</vt:i4>
      </vt:variant>
    </vt:vector>
  </HeadingPairs>
  <TitlesOfParts>
    <vt:vector size="37" baseType="lpstr">
      <vt:lpstr>G-1A Ass</vt:lpstr>
      <vt:lpstr>G.1B Assis</vt:lpstr>
      <vt:lpstr>G.2A Assis </vt:lpstr>
      <vt:lpstr>G.2B Assis </vt:lpstr>
      <vt:lpstr>G.3A Assis </vt:lpstr>
      <vt:lpstr>G.3B Assis</vt:lpstr>
      <vt:lpstr>G.4A Assis</vt:lpstr>
      <vt:lpstr>G.4B Assis </vt:lpstr>
      <vt:lpstr>G.5A Assis  </vt:lpstr>
      <vt:lpstr>G.5B Assis </vt:lpstr>
      <vt:lpstr>G.6A Assis </vt:lpstr>
      <vt:lpstr>G.6B Assis </vt:lpstr>
      <vt:lpstr>G.7A Assis</vt:lpstr>
      <vt:lpstr>G.7B Assis </vt:lpstr>
      <vt:lpstr>G.8 Assis</vt:lpstr>
      <vt:lpstr>G.9 Assis </vt:lpstr>
      <vt:lpstr>G.10 Assis </vt:lpstr>
      <vt:lpstr>G.11(Social) Assis </vt:lpstr>
      <vt:lpstr>G.11(Natural) Assis</vt:lpstr>
      <vt:lpstr>G.12 Assis </vt:lpstr>
      <vt:lpstr>G.AS LEVEL ASSIS</vt:lpstr>
      <vt:lpstr>G.IGCSE ASSIS</vt:lpstr>
      <vt:lpstr>'G.1B Assis'!Print_Titles</vt:lpstr>
      <vt:lpstr>'G.2A Assis '!Print_Titles</vt:lpstr>
      <vt:lpstr>'G.2B Assis '!Print_Titles</vt:lpstr>
      <vt:lpstr>'G.3A Assis '!Print_Titles</vt:lpstr>
      <vt:lpstr>'G.3B Assis'!Print_Titles</vt:lpstr>
      <vt:lpstr>'G.4A Assis'!Print_Titles</vt:lpstr>
      <vt:lpstr>'G.4B Assis '!Print_Titles</vt:lpstr>
      <vt:lpstr>'G.5A Assis  '!Print_Titles</vt:lpstr>
      <vt:lpstr>'G.5B Assis '!Print_Titles</vt:lpstr>
      <vt:lpstr>'G.6A Assis '!Print_Titles</vt:lpstr>
      <vt:lpstr>'G.6B Assis '!Print_Titles</vt:lpstr>
      <vt:lpstr>'G.7A Assis'!Print_Titles</vt:lpstr>
      <vt:lpstr>'G.8 Assis'!Print_Titles</vt:lpstr>
      <vt:lpstr>'G.9 Assis '!Print_Titles</vt:lpstr>
      <vt:lpstr>'G-1A Ass'!Print_Titles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 planet</dc:creator>
  <cp:lastModifiedBy>Behailu</cp:lastModifiedBy>
  <cp:lastPrinted>2020-02-11T06:33:36Z</cp:lastPrinted>
  <dcterms:created xsi:type="dcterms:W3CDTF">2016-09-19T22:30:41Z</dcterms:created>
  <dcterms:modified xsi:type="dcterms:W3CDTF">2020-03-09T15:50:09Z</dcterms:modified>
</cp:coreProperties>
</file>