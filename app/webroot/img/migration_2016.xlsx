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525" yWindow="0" windowWidth="20730" windowHeight="11760" tabRatio="619" activeTab="14"/>
  </bookViews>
  <sheets>
    <sheet name="G1A" sheetId="1" r:id="rId1"/>
    <sheet name="G1B" sheetId="2" r:id="rId2"/>
    <sheet name="G2A" sheetId="5" r:id="rId3"/>
    <sheet name="G3A" sheetId="6" r:id="rId4"/>
    <sheet name="G3B" sheetId="7" r:id="rId5"/>
    <sheet name="G4A" sheetId="8" r:id="rId6"/>
    <sheet name="G5A" sheetId="18" r:id="rId7"/>
    <sheet name="G5B" sheetId="19" r:id="rId8"/>
    <sheet name="G6A" sheetId="20" r:id="rId9"/>
    <sheet name="G6B" sheetId="21" r:id="rId10"/>
    <sheet name="G7A" sheetId="22" r:id="rId11"/>
    <sheet name="G8A" sheetId="23" r:id="rId12"/>
    <sheet name="G8B" sheetId="24" r:id="rId13"/>
    <sheet name="G9A" sheetId="25" r:id="rId14"/>
    <sheet name="G10A" sheetId="26" r:id="rId15"/>
  </sheets>
  <externalReferences>
    <externalReference r:id="rId16"/>
  </externalReferences>
  <calcPr calcId="144525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" i="24" l="1"/>
  <c r="I2" i="24"/>
  <c r="J2" i="24"/>
  <c r="K2" i="24"/>
  <c r="L2" i="24"/>
  <c r="M2" i="24"/>
  <c r="N2" i="24"/>
  <c r="O2" i="24"/>
  <c r="S2" i="24"/>
  <c r="K3" i="24"/>
  <c r="P2" i="24"/>
  <c r="Q2" i="24"/>
  <c r="T2" i="24"/>
  <c r="H3" i="24"/>
  <c r="I3" i="24"/>
  <c r="J3" i="24"/>
  <c r="L3" i="24"/>
  <c r="M3" i="24"/>
  <c r="N3" i="24"/>
  <c r="O3" i="24"/>
  <c r="P3" i="24"/>
  <c r="Q3" i="24"/>
  <c r="T3" i="24"/>
  <c r="H4" i="24"/>
  <c r="H5" i="24"/>
  <c r="I4" i="24"/>
  <c r="J4" i="24"/>
  <c r="J5" i="24"/>
  <c r="K4" i="24"/>
  <c r="L4" i="24"/>
  <c r="L5" i="24"/>
  <c r="M4" i="24"/>
  <c r="N4" i="24"/>
  <c r="N5" i="24"/>
  <c r="O4" i="24"/>
  <c r="P4" i="24"/>
  <c r="Q4" i="24"/>
  <c r="S4" i="24"/>
  <c r="I5" i="24"/>
  <c r="K5" i="24"/>
  <c r="M5" i="24"/>
  <c r="O5" i="24"/>
  <c r="P5" i="24"/>
  <c r="Q5" i="24"/>
  <c r="H6" i="24"/>
  <c r="I6" i="24"/>
  <c r="J6" i="24"/>
  <c r="K6" i="24"/>
  <c r="K7" i="24"/>
  <c r="L6" i="24"/>
  <c r="M6" i="24"/>
  <c r="N6" i="24"/>
  <c r="O6" i="24"/>
  <c r="P6" i="24"/>
  <c r="Q6" i="24"/>
  <c r="H7" i="24"/>
  <c r="I7" i="24"/>
  <c r="J7" i="24"/>
  <c r="L7" i="24"/>
  <c r="M7" i="24"/>
  <c r="N7" i="24"/>
  <c r="O7" i="24"/>
  <c r="P7" i="24"/>
  <c r="Q7" i="24"/>
  <c r="H8" i="24"/>
  <c r="I8" i="24"/>
  <c r="I9" i="24"/>
  <c r="J8" i="24"/>
  <c r="K8" i="24"/>
  <c r="K9" i="24"/>
  <c r="L8" i="24"/>
  <c r="L9" i="24"/>
  <c r="M8" i="24"/>
  <c r="M9" i="24"/>
  <c r="N8" i="24"/>
  <c r="O8" i="24"/>
  <c r="O9" i="24"/>
  <c r="P8" i="24"/>
  <c r="Q8" i="24"/>
  <c r="H9" i="24"/>
  <c r="J9" i="24"/>
  <c r="N9" i="24"/>
  <c r="P9" i="24"/>
  <c r="Q9" i="24"/>
  <c r="H10" i="24"/>
  <c r="I10" i="24"/>
  <c r="I11" i="24"/>
  <c r="J10" i="24"/>
  <c r="K10" i="24"/>
  <c r="L10" i="24"/>
  <c r="M10" i="24"/>
  <c r="M11" i="24"/>
  <c r="N10" i="24"/>
  <c r="O10" i="24"/>
  <c r="P10" i="24"/>
  <c r="Q10" i="24"/>
  <c r="H11" i="24"/>
  <c r="J11" i="24"/>
  <c r="K11" i="24"/>
  <c r="L11" i="24"/>
  <c r="N11" i="24"/>
  <c r="O11" i="24"/>
  <c r="P11" i="24"/>
  <c r="Q11" i="24"/>
  <c r="H12" i="24"/>
  <c r="I12" i="24"/>
  <c r="J12" i="24"/>
  <c r="K12" i="24"/>
  <c r="K13" i="24"/>
  <c r="L12" i="24"/>
  <c r="M12" i="24"/>
  <c r="N12" i="24"/>
  <c r="N13" i="24"/>
  <c r="O12" i="24"/>
  <c r="O13" i="24"/>
  <c r="P12" i="24"/>
  <c r="Q12" i="24"/>
  <c r="H13" i="24"/>
  <c r="I13" i="24"/>
  <c r="J13" i="24"/>
  <c r="L13" i="24"/>
  <c r="M13" i="24"/>
  <c r="S13" i="24"/>
  <c r="P13" i="24"/>
  <c r="Q13" i="24"/>
  <c r="H14" i="24"/>
  <c r="I14" i="24"/>
  <c r="J14" i="24"/>
  <c r="K14" i="24"/>
  <c r="L14" i="24"/>
  <c r="M14" i="24"/>
  <c r="N14" i="24"/>
  <c r="O14" i="24"/>
  <c r="P14" i="24"/>
  <c r="Q14" i="24"/>
  <c r="H15" i="24"/>
  <c r="I15" i="24"/>
  <c r="J15" i="24"/>
  <c r="K15" i="24"/>
  <c r="L15" i="24"/>
  <c r="M15" i="24"/>
  <c r="N15" i="24"/>
  <c r="O15" i="24"/>
  <c r="P15" i="24"/>
  <c r="Q15" i="24"/>
  <c r="H16" i="24"/>
  <c r="I16" i="24"/>
  <c r="J16" i="24"/>
  <c r="J17" i="24"/>
  <c r="K16" i="24"/>
  <c r="L16" i="24"/>
  <c r="M16" i="24"/>
  <c r="N16" i="24"/>
  <c r="N17" i="24"/>
  <c r="O16" i="24"/>
  <c r="P16" i="24"/>
  <c r="Q16" i="24"/>
  <c r="H17" i="24"/>
  <c r="I17" i="24"/>
  <c r="K17" i="24"/>
  <c r="L17" i="24"/>
  <c r="M17" i="24"/>
  <c r="O17" i="24"/>
  <c r="P17" i="24"/>
  <c r="Q17" i="24"/>
  <c r="H18" i="24"/>
  <c r="I18" i="24"/>
  <c r="J18" i="24"/>
  <c r="J19" i="24"/>
  <c r="K18" i="24"/>
  <c r="L18" i="24"/>
  <c r="M18" i="24"/>
  <c r="N18" i="24"/>
  <c r="N19" i="24"/>
  <c r="O18" i="24"/>
  <c r="P18" i="24"/>
  <c r="Q18" i="24"/>
  <c r="H19" i="24"/>
  <c r="I19" i="24"/>
  <c r="K19" i="24"/>
  <c r="L19" i="24"/>
  <c r="M19" i="24"/>
  <c r="O19" i="24"/>
  <c r="P19" i="24"/>
  <c r="Q19" i="24"/>
  <c r="H20" i="24"/>
  <c r="H21" i="24"/>
  <c r="I20" i="24"/>
  <c r="I21" i="24"/>
  <c r="J20" i="24"/>
  <c r="J21" i="24"/>
  <c r="K20" i="24"/>
  <c r="L20" i="24"/>
  <c r="L21" i="24"/>
  <c r="M20" i="24"/>
  <c r="M21" i="24"/>
  <c r="N20" i="24"/>
  <c r="N21" i="24"/>
  <c r="O20" i="24"/>
  <c r="P20" i="24"/>
  <c r="Q20" i="24"/>
  <c r="K21" i="24"/>
  <c r="O21" i="24"/>
  <c r="S21" i="24"/>
  <c r="P21" i="24"/>
  <c r="Q21" i="24"/>
  <c r="H22" i="24"/>
  <c r="I22" i="24"/>
  <c r="I23" i="24"/>
  <c r="J22" i="24"/>
  <c r="K22" i="24"/>
  <c r="L22" i="24"/>
  <c r="L23" i="24"/>
  <c r="M22" i="24"/>
  <c r="M23" i="24"/>
  <c r="N22" i="24"/>
  <c r="O22" i="24"/>
  <c r="P22" i="24"/>
  <c r="Q22" i="24"/>
  <c r="H23" i="24"/>
  <c r="J23" i="24"/>
  <c r="K23" i="24"/>
  <c r="N23" i="24"/>
  <c r="O23" i="24"/>
  <c r="P23" i="24"/>
  <c r="Q23" i="24"/>
  <c r="H24" i="24"/>
  <c r="I24" i="24"/>
  <c r="I25" i="24"/>
  <c r="J24" i="24"/>
  <c r="K24" i="24"/>
  <c r="L24" i="24"/>
  <c r="M24" i="24"/>
  <c r="M25" i="24"/>
  <c r="N24" i="24"/>
  <c r="O24" i="24"/>
  <c r="P24" i="24"/>
  <c r="Q24" i="24"/>
  <c r="H25" i="24"/>
  <c r="J25" i="24"/>
  <c r="K25" i="24"/>
  <c r="L25" i="24"/>
  <c r="N25" i="24"/>
  <c r="O25" i="24"/>
  <c r="P25" i="24"/>
  <c r="Q25" i="24"/>
  <c r="H26" i="24"/>
  <c r="I26" i="24"/>
  <c r="I27" i="24"/>
  <c r="J26" i="24"/>
  <c r="K26" i="24"/>
  <c r="K27" i="24"/>
  <c r="L26" i="24"/>
  <c r="M26" i="24"/>
  <c r="M27" i="24"/>
  <c r="N26" i="24"/>
  <c r="O26" i="24"/>
  <c r="O27" i="24"/>
  <c r="P26" i="24"/>
  <c r="Q26" i="24"/>
  <c r="H27" i="24"/>
  <c r="J27" i="24"/>
  <c r="L27" i="24"/>
  <c r="N27" i="24"/>
  <c r="R27" i="24"/>
  <c r="P27" i="24"/>
  <c r="Q27" i="24"/>
  <c r="H28" i="24"/>
  <c r="I28" i="24"/>
  <c r="J28" i="24"/>
  <c r="K28" i="24"/>
  <c r="L28" i="24"/>
  <c r="L29" i="24"/>
  <c r="M28" i="24"/>
  <c r="N28" i="24"/>
  <c r="O28" i="24"/>
  <c r="P28" i="24"/>
  <c r="Q28" i="24"/>
  <c r="H29" i="24"/>
  <c r="I29" i="24"/>
  <c r="J29" i="24"/>
  <c r="K29" i="24"/>
  <c r="M29" i="24"/>
  <c r="N29" i="24"/>
  <c r="O29" i="24"/>
  <c r="P29" i="24"/>
  <c r="Q29" i="24"/>
  <c r="H30" i="24"/>
  <c r="I30" i="24"/>
  <c r="J30" i="24"/>
  <c r="K30" i="24"/>
  <c r="L30" i="24"/>
  <c r="M30" i="24"/>
  <c r="N30" i="24"/>
  <c r="O30" i="24"/>
  <c r="R30" i="24"/>
  <c r="J31" i="24"/>
  <c r="L31" i="24"/>
  <c r="N31" i="24"/>
  <c r="P30" i="24"/>
  <c r="Q30" i="24"/>
  <c r="H31" i="24"/>
  <c r="I31" i="24"/>
  <c r="K31" i="24"/>
  <c r="M31" i="24"/>
  <c r="O31" i="24"/>
  <c r="P31" i="24"/>
  <c r="Q31" i="24"/>
  <c r="H32" i="24"/>
  <c r="I32" i="24"/>
  <c r="J32" i="24"/>
  <c r="J33" i="24"/>
  <c r="K32" i="24"/>
  <c r="L32" i="24"/>
  <c r="M32" i="24"/>
  <c r="N32" i="24"/>
  <c r="N33" i="24"/>
  <c r="O32" i="24"/>
  <c r="P32" i="24"/>
  <c r="Q32" i="24"/>
  <c r="H33" i="24"/>
  <c r="I33" i="24"/>
  <c r="K33" i="24"/>
  <c r="L33" i="24"/>
  <c r="M33" i="24"/>
  <c r="O33" i="24"/>
  <c r="P33" i="24"/>
  <c r="Q33" i="24"/>
  <c r="H34" i="24"/>
  <c r="I34" i="24"/>
  <c r="J34" i="24"/>
  <c r="K34" i="24"/>
  <c r="L34" i="24"/>
  <c r="L35" i="24"/>
  <c r="M34" i="24"/>
  <c r="N34" i="24"/>
  <c r="O34" i="24"/>
  <c r="P34" i="24"/>
  <c r="Q34" i="24"/>
  <c r="H35" i="24"/>
  <c r="I35" i="24"/>
  <c r="J35" i="24"/>
  <c r="K35" i="24"/>
  <c r="M35" i="24"/>
  <c r="N35" i="24"/>
  <c r="O35" i="24"/>
  <c r="P35" i="24"/>
  <c r="Q35" i="24"/>
  <c r="H36" i="24"/>
  <c r="I36" i="24"/>
  <c r="I37" i="24"/>
  <c r="J36" i="24"/>
  <c r="K36" i="24"/>
  <c r="L36" i="24"/>
  <c r="M36" i="24"/>
  <c r="M37" i="24"/>
  <c r="N36" i="24"/>
  <c r="O36" i="24"/>
  <c r="P36" i="24"/>
  <c r="Q36" i="24"/>
  <c r="H37" i="24"/>
  <c r="J37" i="24"/>
  <c r="K37" i="24"/>
  <c r="L37" i="24"/>
  <c r="N37" i="24"/>
  <c r="O37" i="24"/>
  <c r="P37" i="24"/>
  <c r="Q37" i="24"/>
  <c r="R34" i="24"/>
  <c r="S8" i="24"/>
  <c r="S16" i="24"/>
  <c r="R22" i="24"/>
  <c r="R36" i="24"/>
  <c r="S34" i="24"/>
  <c r="R32" i="24"/>
  <c r="R29" i="24"/>
  <c r="S26" i="24"/>
  <c r="S24" i="24"/>
  <c r="R24" i="24"/>
  <c r="R20" i="24"/>
  <c r="S18" i="24"/>
  <c r="S15" i="24"/>
  <c r="R12" i="24"/>
  <c r="S10" i="24"/>
  <c r="R4" i="24"/>
  <c r="R3" i="24"/>
  <c r="R35" i="24"/>
  <c r="S31" i="24"/>
  <c r="S23" i="24"/>
  <c r="R18" i="24"/>
  <c r="R17" i="24"/>
  <c r="R15" i="24"/>
  <c r="R10" i="24"/>
  <c r="R9" i="24"/>
  <c r="S7" i="24"/>
  <c r="S5" i="24"/>
  <c r="R37" i="24"/>
  <c r="R33" i="24"/>
  <c r="S30" i="24"/>
  <c r="R28" i="24"/>
  <c r="R26" i="24"/>
  <c r="R25" i="24"/>
  <c r="S22" i="24"/>
  <c r="S20" i="24"/>
  <c r="S19" i="24"/>
  <c r="R16" i="24"/>
  <c r="S14" i="24"/>
  <c r="S12" i="24"/>
  <c r="S11" i="24"/>
  <c r="R8" i="24"/>
  <c r="S35" i="24"/>
  <c r="R31" i="24"/>
  <c r="S27" i="24"/>
  <c r="R23" i="24"/>
  <c r="R21" i="24"/>
  <c r="R19" i="24"/>
  <c r="S17" i="24"/>
  <c r="R14" i="24"/>
  <c r="R13" i="24"/>
  <c r="R11" i="24"/>
  <c r="S9" i="24"/>
  <c r="S6" i="24"/>
  <c r="R5" i="24"/>
  <c r="R2" i="24"/>
  <c r="S25" i="24"/>
  <c r="S37" i="24"/>
  <c r="S36" i="24"/>
  <c r="S33" i="24"/>
  <c r="S32" i="24"/>
  <c r="S29" i="24"/>
  <c r="S28" i="24"/>
  <c r="S3" i="24"/>
  <c r="R7" i="24"/>
  <c r="R6" i="24"/>
</calcChain>
</file>

<file path=xl/sharedStrings.xml><?xml version="1.0" encoding="utf-8"?>
<sst xmlns="http://schemas.openxmlformats.org/spreadsheetml/2006/main" count="3536" uniqueCount="738">
  <si>
    <t>No.</t>
  </si>
  <si>
    <t>Quarters</t>
  </si>
  <si>
    <t>Sex</t>
  </si>
  <si>
    <t>Age</t>
  </si>
  <si>
    <t xml:space="preserve">Name of the Student </t>
  </si>
  <si>
    <t>Amharic</t>
  </si>
  <si>
    <t>English</t>
  </si>
  <si>
    <t>Mathematics</t>
  </si>
  <si>
    <t>Social Studies</t>
  </si>
  <si>
    <t>Computer</t>
  </si>
  <si>
    <t>Total</t>
  </si>
  <si>
    <t>Average</t>
  </si>
  <si>
    <t>Rank</t>
  </si>
  <si>
    <t>Conduct</t>
  </si>
  <si>
    <t>Remark</t>
  </si>
  <si>
    <t>Amen Endale</t>
  </si>
  <si>
    <t>I</t>
  </si>
  <si>
    <t>II</t>
  </si>
  <si>
    <t>Amen Eyana</t>
  </si>
  <si>
    <t>B</t>
  </si>
  <si>
    <t>A</t>
  </si>
  <si>
    <t>C</t>
  </si>
  <si>
    <t>Anita Aklilu</t>
  </si>
  <si>
    <t>A+</t>
  </si>
  <si>
    <t>Euel Zerihun</t>
  </si>
  <si>
    <t>Eyael Epherem</t>
  </si>
  <si>
    <t>Haul Afework</t>
  </si>
  <si>
    <t>Hiwot Wendweson</t>
  </si>
  <si>
    <t>Issac Samuel</t>
  </si>
  <si>
    <t>Matiyas Yohannes</t>
  </si>
  <si>
    <t>Mihret Yohannes</t>
  </si>
  <si>
    <t>Nathan Solomon</t>
  </si>
  <si>
    <t>Nathania Abel</t>
  </si>
  <si>
    <t>Natinael Tewodros</t>
  </si>
  <si>
    <t>Olmasa Mehari</t>
  </si>
  <si>
    <t>Samuel Eyob</t>
  </si>
  <si>
    <t>Shalom Abraham</t>
  </si>
  <si>
    <t>Shenen Tamiru</t>
  </si>
  <si>
    <t>Tsion Yenealem</t>
  </si>
  <si>
    <t>Webtsega Selamu</t>
  </si>
  <si>
    <t>Yeabsera Teshome</t>
  </si>
  <si>
    <t>Yididya Tekeste</t>
  </si>
  <si>
    <t>F</t>
  </si>
  <si>
    <t>M</t>
  </si>
  <si>
    <t>Abenezer Mikyas</t>
  </si>
  <si>
    <t>Abigeal Danepram</t>
  </si>
  <si>
    <t>Alazar Yishak</t>
  </si>
  <si>
    <t>Amanuel Yonatan</t>
  </si>
  <si>
    <t>Barnabas Dawit</t>
  </si>
  <si>
    <t>Barok Tadesse</t>
  </si>
  <si>
    <t>Biruk Masresha</t>
  </si>
  <si>
    <t>Boaz Anteneh</t>
  </si>
  <si>
    <t>Charis Wondrad</t>
  </si>
  <si>
    <t>Cherenet Tekeste</t>
  </si>
  <si>
    <t>Dibora Behailu</t>
  </si>
  <si>
    <t>Dibora Ephrem</t>
  </si>
  <si>
    <t>Dina Fekadu Adugna</t>
  </si>
  <si>
    <t>Hasset Tamrat</t>
  </si>
  <si>
    <t>Heledana Zerisenay</t>
  </si>
  <si>
    <t>Keti Sisay Boka</t>
  </si>
  <si>
    <t>Natan Ermias</t>
  </si>
  <si>
    <t>Obsan Tesfaye</t>
  </si>
  <si>
    <t>Rebecca Endrias</t>
  </si>
  <si>
    <t>Rediet Tekeste</t>
  </si>
  <si>
    <t>Salem Dilneshau</t>
  </si>
  <si>
    <t>Samuel Thomas</t>
  </si>
  <si>
    <t>Saron Ephriem</t>
  </si>
  <si>
    <t>Shalina Mulugeta</t>
  </si>
  <si>
    <t>Tensac Bisrat Tadele</t>
  </si>
  <si>
    <t>Yanit Tesfaye</t>
  </si>
  <si>
    <t>Yohana Million</t>
  </si>
  <si>
    <t>Yohana Smuel</t>
  </si>
  <si>
    <t>Yohana Gebremeskel</t>
  </si>
  <si>
    <t>Yonathan Berhanu</t>
  </si>
  <si>
    <t>Youlia Ermias</t>
  </si>
  <si>
    <t>Yuliya Samson</t>
  </si>
  <si>
    <t>Zoe Getachew</t>
  </si>
  <si>
    <t>Ammanuel Alemu</t>
  </si>
  <si>
    <t>Abigail Abraham</t>
  </si>
  <si>
    <t>Amen Zenebew</t>
  </si>
  <si>
    <t>Asair Esayas</t>
  </si>
  <si>
    <t>Asher Silas</t>
  </si>
  <si>
    <t>Barkot Ameha</t>
  </si>
  <si>
    <t>Basliel Eskindier</t>
  </si>
  <si>
    <t>Betel Solomon</t>
  </si>
  <si>
    <t>Betsit Afework</t>
  </si>
  <si>
    <t>Biruk Abraham</t>
  </si>
  <si>
    <t>Elnathan Ephrem</t>
  </si>
  <si>
    <t>Eyoel Yoseph</t>
  </si>
  <si>
    <t>Hasset Mamusha</t>
  </si>
  <si>
    <t>Lidiya Yenealem</t>
  </si>
  <si>
    <t>Markon Million</t>
  </si>
  <si>
    <t>B+</t>
  </si>
  <si>
    <t>Merey Tilahun</t>
  </si>
  <si>
    <t>Michael Yohannes</t>
  </si>
  <si>
    <t>Mihret Alem</t>
  </si>
  <si>
    <t>Nathan Samuel</t>
  </si>
  <si>
    <t>Nathan Yirgalem</t>
  </si>
  <si>
    <t>Obsan Gutema</t>
  </si>
  <si>
    <t>Ruth Biruk</t>
  </si>
  <si>
    <t>Samuel Tamrat</t>
  </si>
  <si>
    <t>Abenezer Wondwossen</t>
  </si>
  <si>
    <t>Abenzer Walelign Assefa</t>
  </si>
  <si>
    <t>Adona Bogale</t>
  </si>
  <si>
    <t>Amen Mikyas Tesfaye</t>
  </si>
  <si>
    <t>Aron Moges Eshetu</t>
  </si>
  <si>
    <t>Asier Selamu Feleke</t>
  </si>
  <si>
    <t>A-</t>
  </si>
  <si>
    <t>Betselot Tesfaye Tumoro</t>
  </si>
  <si>
    <t>Brook Endalkachew Sime</t>
  </si>
  <si>
    <t>Caleb Zerhun Feleke</t>
  </si>
  <si>
    <t>Delina Alem</t>
  </si>
  <si>
    <t>Eyosias Seido Hassen</t>
  </si>
  <si>
    <t>Eyuel K/Gebriel</t>
  </si>
  <si>
    <t>Fiker Tamrat Tadesse</t>
  </si>
  <si>
    <t>Fiker Yohannes Argu</t>
  </si>
  <si>
    <t>Haset Aklilu Amsalu</t>
  </si>
  <si>
    <t>Lidya Kedeme Gebre</t>
  </si>
  <si>
    <t>Loyd Ephrem</t>
  </si>
  <si>
    <t>Nahil Dereje Nasir</t>
  </si>
  <si>
    <t>Nahome Solomon Tessema</t>
  </si>
  <si>
    <t>Nahome Yirgalem Zegeye</t>
  </si>
  <si>
    <t>Nathan Hekok</t>
  </si>
  <si>
    <t>Robsen Tamiru Ayele</t>
  </si>
  <si>
    <t>Ruhama Kitle Yohannes</t>
  </si>
  <si>
    <t>Ruhama Mikyas Demissie</t>
  </si>
  <si>
    <t>D</t>
  </si>
  <si>
    <t>Ruth Samuel Tadesse</t>
  </si>
  <si>
    <t>Samuel Habtamu</t>
  </si>
  <si>
    <t>Shaddai Fitsum</t>
  </si>
  <si>
    <t>Shalom Ohad Berami</t>
  </si>
  <si>
    <t>Tsionawit Daniel Gebre</t>
  </si>
  <si>
    <t>Zema Retta Workneh</t>
  </si>
  <si>
    <t>Abigail Menelik</t>
  </si>
  <si>
    <t>Alazar Girum Tadesse</t>
  </si>
  <si>
    <t>Barnabas Sisay Tefera</t>
  </si>
  <si>
    <t>Baslil Hailu Alemu</t>
  </si>
  <si>
    <t>Beamlak Manyahalhal</t>
  </si>
  <si>
    <t>Bereket Solomon Teka</t>
  </si>
  <si>
    <t>Eldana Wossen Asfaw</t>
  </si>
  <si>
    <t>Elroe Kassahun</t>
  </si>
  <si>
    <t>Elroe Wondessen Deribe</t>
  </si>
  <si>
    <t>Eyerusalem Dawit</t>
  </si>
  <si>
    <t>Eyoab Yisihak</t>
  </si>
  <si>
    <t>Finhas Cherinet Dina</t>
  </si>
  <si>
    <t>Haniel Esayas Abebe</t>
  </si>
  <si>
    <t>Hasset Adane Getachew</t>
  </si>
  <si>
    <t>Helina Dawit</t>
  </si>
  <si>
    <t>Hermon Mesfin Addisie</t>
  </si>
  <si>
    <t>Hildana Philopos Banti</t>
  </si>
  <si>
    <t>Kalkidan wubliker</t>
  </si>
  <si>
    <t>Kaniel Solomon Habte</t>
  </si>
  <si>
    <t>Keariyam Efrem</t>
  </si>
  <si>
    <t>Kibru Tesfaye Gezahegn</t>
  </si>
  <si>
    <t>Leuel Robel</t>
  </si>
  <si>
    <t>Melchi Worku Chekagn</t>
  </si>
  <si>
    <t>Mihiret Menelik Tamrat</t>
  </si>
  <si>
    <t>Nathnael Dereje</t>
  </si>
  <si>
    <t>Nehemyia Matewos</t>
  </si>
  <si>
    <t>Samuel Demeke</t>
  </si>
  <si>
    <t>Saron Mulushewa</t>
  </si>
  <si>
    <t>Saron Theodros Haile</t>
  </si>
  <si>
    <t>Selam Habtamu</t>
  </si>
  <si>
    <t>Semhal Alem</t>
  </si>
  <si>
    <t>Temesgen Zewiter</t>
  </si>
  <si>
    <t>Yoseph Tadesse</t>
  </si>
  <si>
    <t>Yoseph K/Yohannes</t>
  </si>
  <si>
    <t>Civics</t>
  </si>
  <si>
    <t>Barkot Yitbarek</t>
  </si>
  <si>
    <t>Christian Bisrat</t>
  </si>
  <si>
    <t>Dagim Bezabih</t>
  </si>
  <si>
    <t>Hasseit Yonatan</t>
  </si>
  <si>
    <t>Haweni Yifa</t>
  </si>
  <si>
    <t>Liya Aklilu</t>
  </si>
  <si>
    <t>Mariamawit Tewodros</t>
  </si>
  <si>
    <t>Merob Taye</t>
  </si>
  <si>
    <t>Mikias Mekonnen</t>
  </si>
  <si>
    <t>Milka Rediet</t>
  </si>
  <si>
    <t>Nahom Ephrem</t>
  </si>
  <si>
    <t>Nathan Dilnesahu</t>
  </si>
  <si>
    <t>Rediet Haileloul</t>
  </si>
  <si>
    <t>Tenbete Daniel</t>
  </si>
  <si>
    <t>Yabetse Wossen</t>
  </si>
  <si>
    <t>Yofeth Ermiyas</t>
  </si>
  <si>
    <t>Yonathan Theodros</t>
  </si>
  <si>
    <t>Zetseat Alem</t>
  </si>
  <si>
    <t>Abenezer Tariku</t>
  </si>
  <si>
    <t>Bakal Bezabih</t>
  </si>
  <si>
    <t>Dibora Hailu</t>
  </si>
  <si>
    <t>Elroe Wubliker</t>
  </si>
  <si>
    <t>Elezer Zeresenai</t>
  </si>
  <si>
    <t>Esayas Dawit</t>
  </si>
  <si>
    <t>Eyerusalem Tadele</t>
  </si>
  <si>
    <t>Heran Abeya</t>
  </si>
  <si>
    <t>Hundaol Tesfaye</t>
  </si>
  <si>
    <t>Kalkidan Akalework</t>
  </si>
  <si>
    <t>Kalkidan Tadesse</t>
  </si>
  <si>
    <t>Muse Minassie</t>
  </si>
  <si>
    <t>Naomi Yeneneh</t>
  </si>
  <si>
    <t>Noam Bogale</t>
  </si>
  <si>
    <t>Nathan Mamusha</t>
  </si>
  <si>
    <t>Peniel Robel</t>
  </si>
  <si>
    <t>Pricella</t>
  </si>
  <si>
    <t>Rebacca Berhanu</t>
  </si>
  <si>
    <t>Redite Zenebew</t>
  </si>
  <si>
    <t>Saron Haileloul</t>
  </si>
  <si>
    <t>Ahava Mikyas Demissie</t>
  </si>
  <si>
    <t>Blen Meskerem Abebe</t>
  </si>
  <si>
    <t>Brook Tirusew</t>
  </si>
  <si>
    <t>Daniel Berhane Meskel</t>
  </si>
  <si>
    <t>Daniel Menlik</t>
  </si>
  <si>
    <t>Debora Bisrat</t>
  </si>
  <si>
    <t>Ebenzer Samuel Sisay</t>
  </si>
  <si>
    <t>Ethan Daniel Wondimu</t>
  </si>
  <si>
    <t>Isaac Afework Fekadu</t>
  </si>
  <si>
    <t>Kaleb Yirgalem Zegeye</t>
  </si>
  <si>
    <t>Lewi Dawit Molalegn</t>
  </si>
  <si>
    <t>Makmas Shemelis Hailu</t>
  </si>
  <si>
    <t>C+</t>
  </si>
  <si>
    <t>Mldju Ebissa Wakene</t>
  </si>
  <si>
    <t>Nita Tesfaye Tumoro</t>
  </si>
  <si>
    <t>Ruhama Dawit Regashaw</t>
  </si>
  <si>
    <t>Ruth Wondwessen Seifu</t>
  </si>
  <si>
    <t>Shalom Samuel Abebe</t>
  </si>
  <si>
    <t>Yabets Nigus Semie</t>
  </si>
  <si>
    <t>Yeabsira Gizachew Yilma</t>
  </si>
  <si>
    <t>Yebtsega Adera Alemu</t>
  </si>
  <si>
    <t>Yohana Ohad Benami</t>
  </si>
  <si>
    <t>Physics</t>
  </si>
  <si>
    <t>Chemistry</t>
  </si>
  <si>
    <t>Biology</t>
  </si>
  <si>
    <t>Abigail Robel</t>
  </si>
  <si>
    <t>Adonias Seydo</t>
  </si>
  <si>
    <t>Afomia Mesfen</t>
  </si>
  <si>
    <t>Danayt Wondimteka</t>
  </si>
  <si>
    <t>Debenah Tadele</t>
  </si>
  <si>
    <t>Gedeon Aklilu</t>
  </si>
  <si>
    <t>Gemechis Tamiru</t>
  </si>
  <si>
    <t>Hamona Tewodros</t>
  </si>
  <si>
    <t>Hasset Amare</t>
  </si>
  <si>
    <t>Henok Zegeye</t>
  </si>
  <si>
    <t>Lewi Tadesse</t>
  </si>
  <si>
    <t>Lewi Yifa</t>
  </si>
  <si>
    <t>Mihret Samson</t>
  </si>
  <si>
    <t>Nathan Yisihak</t>
  </si>
  <si>
    <t>Nathanael Dereje</t>
  </si>
  <si>
    <t>Raey Dereje</t>
  </si>
  <si>
    <t>Ruth Aklilu</t>
  </si>
  <si>
    <t>Ruth Deme</t>
  </si>
  <si>
    <t>Salem Thomas</t>
  </si>
  <si>
    <t>Shalom Aklilu</t>
  </si>
  <si>
    <t>Yisakor Solomon</t>
  </si>
  <si>
    <t>Yohannes Alemayehu</t>
  </si>
  <si>
    <t>Abigel Alemayehu</t>
  </si>
  <si>
    <t>Abigia Girma</t>
  </si>
  <si>
    <t>Aida Hilawe</t>
  </si>
  <si>
    <t>Bethel Hailu</t>
  </si>
  <si>
    <t>Biniyam Tadesse</t>
  </si>
  <si>
    <t>Biruk Berhanu</t>
  </si>
  <si>
    <t>Caremel Fitsum</t>
  </si>
  <si>
    <t>Elfaz Tirusew</t>
  </si>
  <si>
    <t>Enon Dereje</t>
  </si>
  <si>
    <t>Eyasu Tadesse</t>
  </si>
  <si>
    <t>Eyobed Cherinet</t>
  </si>
  <si>
    <t>Eyouel Alemayehu</t>
  </si>
  <si>
    <t>Eyuel Tesfaye</t>
  </si>
  <si>
    <t>Ezikel Solomon</t>
  </si>
  <si>
    <t>Fitsum Yoseph</t>
  </si>
  <si>
    <t>Lael Solomon</t>
  </si>
  <si>
    <t>Mehereteab Delu</t>
  </si>
  <si>
    <t>Samuel Girum</t>
  </si>
  <si>
    <t>Tsion Alemayhu</t>
  </si>
  <si>
    <t>Yishak Abraham</t>
  </si>
  <si>
    <t>Abigel Binyam</t>
  </si>
  <si>
    <t>Aser Gebeyehu</t>
  </si>
  <si>
    <t>Eden Mulushewa G/mariam</t>
  </si>
  <si>
    <t>Emmanuel Assegid Habte</t>
  </si>
  <si>
    <t>Feven Mesfin Teka</t>
  </si>
  <si>
    <t>Fikir Bisrat Alemu</t>
  </si>
  <si>
    <t>Heman Daniel</t>
  </si>
  <si>
    <t>Ketsbaot Akalewold Eshetu</t>
  </si>
  <si>
    <t>Melal Gutema Firsa</t>
  </si>
  <si>
    <t>Mesula Wubliker Seneshaw</t>
  </si>
  <si>
    <t>Noel Solomon Habte</t>
  </si>
  <si>
    <t>Ruhama Abrham Amanuel</t>
  </si>
  <si>
    <t>Salem Solomon Admasu</t>
  </si>
  <si>
    <t>Tihetina Bezabeh Abebe</t>
  </si>
  <si>
    <t>Tsion Rufael Ayele</t>
  </si>
  <si>
    <t>Assanti Mehari</t>
  </si>
  <si>
    <t>Bemnet Ameha</t>
  </si>
  <si>
    <t>Benayas Deme</t>
  </si>
  <si>
    <t>Bethel Samuel</t>
  </si>
  <si>
    <t>Biruk Getachew</t>
  </si>
  <si>
    <t>Dagmawi Mamusha</t>
  </si>
  <si>
    <t>Eyassu Wondwossen</t>
  </si>
  <si>
    <t>Eyoatam Reta</t>
  </si>
  <si>
    <t>Kello Tamiru</t>
  </si>
  <si>
    <t>Kerode Bogale</t>
  </si>
  <si>
    <t>Leul Yitbarek'</t>
  </si>
  <si>
    <t>Muse Ashebir</t>
  </si>
  <si>
    <t>Natan Samson</t>
  </si>
  <si>
    <t>Ruhama Tesfaye</t>
  </si>
  <si>
    <t>Samuel Tilahun</t>
  </si>
  <si>
    <t>Shalom Mulat</t>
  </si>
  <si>
    <t>Yonas Taye</t>
  </si>
  <si>
    <t>Sesait Tekleab</t>
  </si>
  <si>
    <t>Geography</t>
  </si>
  <si>
    <t>History</t>
  </si>
  <si>
    <t>Abenezer Aklilu</t>
  </si>
  <si>
    <t>Adollam</t>
  </si>
  <si>
    <t>Amanuel Tefera</t>
  </si>
  <si>
    <t>Bereket Zenebew</t>
  </si>
  <si>
    <t>Bitsena Seyoum</t>
  </si>
  <si>
    <t>Elfaz Wondirad</t>
  </si>
  <si>
    <t>Ephrem Yoseph</t>
  </si>
  <si>
    <t>Ermias Haile</t>
  </si>
  <si>
    <t>Gomer Dereje</t>
  </si>
  <si>
    <t>Kaleb Abraham</t>
  </si>
  <si>
    <t>Moriamawit Alemayehu</t>
  </si>
  <si>
    <t>Michael Alemu</t>
  </si>
  <si>
    <t>Nahom Solomon</t>
  </si>
  <si>
    <t>Nebyou Dawit</t>
  </si>
  <si>
    <t>Nehemiha Manyahelhal</t>
  </si>
  <si>
    <t>Robel Yishak</t>
  </si>
  <si>
    <t>Ruth Tefera</t>
  </si>
  <si>
    <t>Wakene Tamiru</t>
  </si>
  <si>
    <t>Widad Dawit</t>
  </si>
  <si>
    <t>Zekarias Delu</t>
  </si>
  <si>
    <r>
      <t>B</t>
    </r>
    <r>
      <rPr>
        <vertAlign val="superscript"/>
        <sz val="12"/>
        <color theme="1"/>
        <rFont val="Calibri"/>
        <family val="2"/>
        <scheme val="minor"/>
      </rPr>
      <t>+</t>
    </r>
  </si>
  <si>
    <t xml:space="preserve">Abyalat Million </t>
  </si>
  <si>
    <t xml:space="preserve">Amen Tamrat </t>
  </si>
  <si>
    <t xml:space="preserve">Barkot Samuel </t>
  </si>
  <si>
    <t xml:space="preserve">Bemnet Solomon </t>
  </si>
  <si>
    <t xml:space="preserve">Dagim Eyuel </t>
  </si>
  <si>
    <t xml:space="preserve">Eldana Samuel </t>
  </si>
  <si>
    <t xml:space="preserve">Eyobed Yalew </t>
  </si>
  <si>
    <t xml:space="preserve">Eyu Gashaw </t>
  </si>
  <si>
    <t xml:space="preserve">Hallelujah Habtamu </t>
  </si>
  <si>
    <t xml:space="preserve">Hilkiyas Shimels </t>
  </si>
  <si>
    <t xml:space="preserve">John G/Meskel </t>
  </si>
  <si>
    <t xml:space="preserve">Kaleb Endalkachew </t>
  </si>
  <si>
    <t xml:space="preserve">Kalyalew Tadele </t>
  </si>
  <si>
    <t xml:space="preserve">Mattanya Ermisha </t>
  </si>
  <si>
    <t xml:space="preserve">Nathan Wondwosen </t>
  </si>
  <si>
    <t xml:space="preserve">Noah Ebissa </t>
  </si>
  <si>
    <t xml:space="preserve">Phares Yeneneh </t>
  </si>
  <si>
    <t xml:space="preserve">Samuel Akalewold </t>
  </si>
  <si>
    <t xml:space="preserve">Saron Habtamu </t>
  </si>
  <si>
    <t xml:space="preserve">Shalom Dawit </t>
  </si>
  <si>
    <t xml:space="preserve">Yadel Nebiyou </t>
  </si>
  <si>
    <t xml:space="preserve"> </t>
  </si>
  <si>
    <t xml:space="preserve">M </t>
  </si>
  <si>
    <t xml:space="preserve">Yohannes Aklilu </t>
  </si>
  <si>
    <t xml:space="preserve">A </t>
  </si>
  <si>
    <t xml:space="preserve">Simeon Million </t>
  </si>
  <si>
    <t xml:space="preserve">Saron Abraham </t>
  </si>
  <si>
    <t xml:space="preserve">Ruth Dereje </t>
  </si>
  <si>
    <t xml:space="preserve">Neftalem Mulushewa </t>
  </si>
  <si>
    <t xml:space="preserve">Nebiyou Eyouel </t>
  </si>
  <si>
    <t xml:space="preserve">Nathan Hilawi </t>
  </si>
  <si>
    <t xml:space="preserve">Nahom Robel </t>
  </si>
  <si>
    <t xml:space="preserve">Maryam Getachew </t>
  </si>
  <si>
    <t xml:space="preserve">Kaleb Solomon </t>
  </si>
  <si>
    <t xml:space="preserve">Ephrata Yoseph </t>
  </si>
  <si>
    <t xml:space="preserve">Eldana Shimels Hailu </t>
  </si>
  <si>
    <t xml:space="preserve">Eden Sibilu </t>
  </si>
  <si>
    <t xml:space="preserve">Ebrona Dereje </t>
  </si>
  <si>
    <t xml:space="preserve">Bithiah Endrias </t>
  </si>
  <si>
    <t xml:space="preserve">Bisrat Meskarem </t>
  </si>
  <si>
    <t xml:space="preserve">Binyam Tadele </t>
  </si>
  <si>
    <t xml:space="preserve">Bereket Dawit Kidane </t>
  </si>
  <si>
    <t xml:space="preserve">Barkot Yishak Tilahun </t>
  </si>
  <si>
    <t xml:space="preserve">Alazar Kassahun </t>
  </si>
  <si>
    <t xml:space="preserve">Hasset Matewos </t>
  </si>
  <si>
    <t>Olif  Worku Chekagn</t>
  </si>
  <si>
    <t>Henok Siblu</t>
  </si>
  <si>
    <t>Barok  Abraham</t>
  </si>
  <si>
    <t>b+</t>
  </si>
  <si>
    <t>Column1</t>
  </si>
  <si>
    <t xml:space="preserve">Yael Siyoum Antonios </t>
  </si>
  <si>
    <t xml:space="preserve">Wada  Mehari Tafesse </t>
  </si>
  <si>
    <t xml:space="preserve">Tsion Tesfaye Tezera </t>
  </si>
  <si>
    <t>Student's Name</t>
  </si>
  <si>
    <t>ID Number</t>
  </si>
  <si>
    <t>Registration Date</t>
  </si>
  <si>
    <t>Semester</t>
  </si>
  <si>
    <t>Id Number</t>
  </si>
  <si>
    <t>Regsitration Date</t>
  </si>
  <si>
    <t>Students Name</t>
  </si>
  <si>
    <t>ID number</t>
  </si>
  <si>
    <t>Registration date</t>
  </si>
  <si>
    <t>Student's name</t>
  </si>
  <si>
    <t>CHA140080</t>
  </si>
  <si>
    <t>CHA130004</t>
  </si>
  <si>
    <t>CHA130009</t>
  </si>
  <si>
    <t>CHA130012</t>
  </si>
  <si>
    <t>CHA140090</t>
  </si>
  <si>
    <t>CHA130016</t>
  </si>
  <si>
    <t>CHA130019</t>
  </si>
  <si>
    <t>CHA140084</t>
  </si>
  <si>
    <t>CHA140091</t>
  </si>
  <si>
    <t>CHA140087</t>
  </si>
  <si>
    <t>CHA140094</t>
  </si>
  <si>
    <t>CHA130023</t>
  </si>
  <si>
    <t>CHA140088</t>
  </si>
  <si>
    <t>CHA140096</t>
  </si>
  <si>
    <t>CHA130001</t>
  </si>
  <si>
    <t>CHA130003</t>
  </si>
  <si>
    <t>CHA130005</t>
  </si>
  <si>
    <t>CHA130007</t>
  </si>
  <si>
    <t>CHA140082</t>
  </si>
  <si>
    <t>CHA140083</t>
  </si>
  <si>
    <t>CHA130011</t>
  </si>
  <si>
    <t>CHA130013</t>
  </si>
  <si>
    <t>CHA130015</t>
  </si>
  <si>
    <t>CHA130017</t>
  </si>
  <si>
    <t>CHA140085</t>
  </si>
  <si>
    <t>CHA130026</t>
  </si>
  <si>
    <t>CHA140086</t>
  </si>
  <si>
    <t>CHA130021</t>
  </si>
  <si>
    <t>CHA140093</t>
  </si>
  <si>
    <t>CHA140095</t>
  </si>
  <si>
    <t>CHA120048</t>
  </si>
  <si>
    <t>CHA140102</t>
  </si>
  <si>
    <t>CHA140097</t>
  </si>
  <si>
    <t>CHA120049</t>
  </si>
  <si>
    <t>CHA120054</t>
  </si>
  <si>
    <t>CHA140098</t>
  </si>
  <si>
    <t>CHA120029</t>
  </si>
  <si>
    <t>CHA140099</t>
  </si>
  <si>
    <t>CHA120008</t>
  </si>
  <si>
    <t>CHA140104</t>
  </si>
  <si>
    <t>CHA120055</t>
  </si>
  <si>
    <t>CHA120056</t>
  </si>
  <si>
    <t>CHA140105</t>
  </si>
  <si>
    <t>CHA120059</t>
  </si>
  <si>
    <t>CHA120060</t>
  </si>
  <si>
    <t>CHA140106</t>
  </si>
  <si>
    <t>CHA140107</t>
  </si>
  <si>
    <t>CHA120063</t>
  </si>
  <si>
    <t>CHA140108</t>
  </si>
  <si>
    <t>CHA130031</t>
  </si>
  <si>
    <t>CHA120064</t>
  </si>
  <si>
    <t>CHA120065</t>
  </si>
  <si>
    <t>CHA140109</t>
  </si>
  <si>
    <t>CHA140110</t>
  </si>
  <si>
    <t>CHA140111</t>
  </si>
  <si>
    <t>CHA120067</t>
  </si>
  <si>
    <t>CHA120070</t>
  </si>
  <si>
    <t>CHA120071</t>
  </si>
  <si>
    <t>CHA140112</t>
  </si>
  <si>
    <t>CHA120072</t>
  </si>
  <si>
    <t>CHA150080</t>
  </si>
  <si>
    <t>CHA150082</t>
  </si>
  <si>
    <t>CHA120003</t>
  </si>
  <si>
    <t>CHA150083</t>
  </si>
  <si>
    <t>CHA120030</t>
  </si>
  <si>
    <t>CHA150084</t>
  </si>
  <si>
    <t>CHA120005</t>
  </si>
  <si>
    <t>CHA120006</t>
  </si>
  <si>
    <t>CHA150085</t>
  </si>
  <si>
    <t>CHA140001</t>
  </si>
  <si>
    <t>CHA120010</t>
  </si>
  <si>
    <t>CHA120012</t>
  </si>
  <si>
    <t>CHA120013</t>
  </si>
  <si>
    <t>CHA120014</t>
  </si>
  <si>
    <t>CHA140003</t>
  </si>
  <si>
    <t>CHA140004</t>
  </si>
  <si>
    <t>CHA140005</t>
  </si>
  <si>
    <t>CHA120039</t>
  </si>
  <si>
    <t>CHA120016</t>
  </si>
  <si>
    <t>CHA120018</t>
  </si>
  <si>
    <t>CHA120020</t>
  </si>
  <si>
    <t>CHA120043</t>
  </si>
  <si>
    <t>CHA120025</t>
  </si>
  <si>
    <t>CHA150086</t>
  </si>
  <si>
    <t>CHA140006</t>
  </si>
  <si>
    <t>CHA120027</t>
  </si>
  <si>
    <t>CHA140007</t>
  </si>
  <si>
    <t>CHA120028</t>
  </si>
  <si>
    <t>CHA120076</t>
  </si>
  <si>
    <t>CHA120031</t>
  </si>
  <si>
    <t>CHA120032</t>
  </si>
  <si>
    <t>CHA120033</t>
  </si>
  <si>
    <t>CHA120011</t>
  </si>
  <si>
    <t>CHA130033</t>
  </si>
  <si>
    <t>CHA120036</t>
  </si>
  <si>
    <t>CHA120037</t>
  </si>
  <si>
    <t>CHA150087</t>
  </si>
  <si>
    <t>CHA140008</t>
  </si>
  <si>
    <t>CHA120038</t>
  </si>
  <si>
    <t>CHA120040</t>
  </si>
  <si>
    <t>CHA150089</t>
  </si>
  <si>
    <t>CHA120019</t>
  </si>
  <si>
    <t>CHA130034</t>
  </si>
  <si>
    <t>CHA120021</t>
  </si>
  <si>
    <t>CHA150088</t>
  </si>
  <si>
    <t>CHA120044</t>
  </si>
  <si>
    <t>CHA140009</t>
  </si>
  <si>
    <t>CHA120046</t>
  </si>
  <si>
    <t>CHA120073</t>
  </si>
  <si>
    <t>CHA150001</t>
  </si>
  <si>
    <t>CHA120074</t>
  </si>
  <si>
    <t>CHA130037</t>
  </si>
  <si>
    <t>CHA150002</t>
  </si>
  <si>
    <t>CHA140010</t>
  </si>
  <si>
    <t>CHA120077</t>
  </si>
  <si>
    <t>CHA150003</t>
  </si>
  <si>
    <t>CHA120078</t>
  </si>
  <si>
    <t>CHA120080</t>
  </si>
  <si>
    <t>CHA120081</t>
  </si>
  <si>
    <t>CHA120082</t>
  </si>
  <si>
    <t>CHA140013</t>
  </si>
  <si>
    <t>CHA120084</t>
  </si>
  <si>
    <t>CHA150004</t>
  </si>
  <si>
    <t>CHA150005</t>
  </si>
  <si>
    <t>CHA120086</t>
  </si>
  <si>
    <t>CHA120087</t>
  </si>
  <si>
    <t>CHA120088</t>
  </si>
  <si>
    <t>CHA140011</t>
  </si>
  <si>
    <t>CHA120091</t>
  </si>
  <si>
    <t>CHA120090</t>
  </si>
  <si>
    <t>CHA140012</t>
  </si>
  <si>
    <t>CHA150006</t>
  </si>
  <si>
    <t>CHA150007</t>
  </si>
  <si>
    <t>CHA120096</t>
  </si>
  <si>
    <t>CHA120097</t>
  </si>
  <si>
    <t>CHA150009</t>
  </si>
  <si>
    <t>CHA150010</t>
  </si>
  <si>
    <t>CHA120103</t>
  </si>
  <si>
    <t>CHA140019</t>
  </si>
  <si>
    <t>CHA120122</t>
  </si>
  <si>
    <t>CHA120126</t>
  </si>
  <si>
    <t>CHA120108</t>
  </si>
  <si>
    <t>CHA150012</t>
  </si>
  <si>
    <t>CHA120110</t>
  </si>
  <si>
    <t>CHA130039</t>
  </si>
  <si>
    <t>CHA140014</t>
  </si>
  <si>
    <t>CHA120111</t>
  </si>
  <si>
    <t>CHA120129</t>
  </si>
  <si>
    <t>CHA120113</t>
  </si>
  <si>
    <t>CHA120116</t>
  </si>
  <si>
    <t>CHA120136</t>
  </si>
  <si>
    <t>CHA120117</t>
  </si>
  <si>
    <t>CHA120118</t>
  </si>
  <si>
    <t>CHA140020</t>
  </si>
  <si>
    <t>CHA150047</t>
  </si>
  <si>
    <t>CHA150015</t>
  </si>
  <si>
    <t>CHA130038</t>
  </si>
  <si>
    <t>CHA120119</t>
  </si>
  <si>
    <t>CHA150018</t>
  </si>
  <si>
    <t>CHA120104</t>
  </si>
  <si>
    <t>CHA120125</t>
  </si>
  <si>
    <t>CHA120107</t>
  </si>
  <si>
    <t>CHA120128</t>
  </si>
  <si>
    <t>CHA140016</t>
  </si>
  <si>
    <t>CHA140017</t>
  </si>
  <si>
    <t>CHA120131</t>
  </si>
  <si>
    <t>CHA150016</t>
  </si>
  <si>
    <t>CHA140018</t>
  </si>
  <si>
    <t>CHA120134</t>
  </si>
  <si>
    <t>CHA120137</t>
  </si>
  <si>
    <t>CHA120141</t>
  </si>
  <si>
    <t>CHA120144</t>
  </si>
  <si>
    <t>CHA150019</t>
  </si>
  <si>
    <t>CHA120145</t>
  </si>
  <si>
    <t>CHA140021</t>
  </si>
  <si>
    <t>CHA120150</t>
  </si>
  <si>
    <t>CHA150020</t>
  </si>
  <si>
    <t>CHA120154</t>
  </si>
  <si>
    <t>CHA120158</t>
  </si>
  <si>
    <t>CHA140022</t>
  </si>
  <si>
    <t>CHA120161</t>
  </si>
  <si>
    <t>CHA120164</t>
  </si>
  <si>
    <t>CHA120165</t>
  </si>
  <si>
    <t>CHA120166</t>
  </si>
  <si>
    <t>CHA150021</t>
  </si>
  <si>
    <t>CHA120168</t>
  </si>
  <si>
    <t>CHA120140</t>
  </si>
  <si>
    <t>CHA120173</t>
  </si>
  <si>
    <t>CHA140025</t>
  </si>
  <si>
    <t>CHA120143</t>
  </si>
  <si>
    <t>CHA140024</t>
  </si>
  <si>
    <t>CHA150023</t>
  </si>
  <si>
    <t>CHA120147</t>
  </si>
  <si>
    <t>CHA120152</t>
  </si>
  <si>
    <t>CHA120153</t>
  </si>
  <si>
    <t>CHA120155</t>
  </si>
  <si>
    <t>CHA150024</t>
  </si>
  <si>
    <t>CHA120162</t>
  </si>
  <si>
    <t>CHA120163</t>
  </si>
  <si>
    <t>CHA120167</t>
  </si>
  <si>
    <t>CHA150025</t>
  </si>
  <si>
    <t>CHA130041</t>
  </si>
  <si>
    <t>CHA120169</t>
  </si>
  <si>
    <t>CHA130042</t>
  </si>
  <si>
    <t>CHA120172</t>
  </si>
  <si>
    <t>CHA140028</t>
  </si>
  <si>
    <t>CHA120175</t>
  </si>
  <si>
    <t>CHA130043</t>
  </si>
  <si>
    <t>CHA120177</t>
  </si>
  <si>
    <t>CHA120183</t>
  </si>
  <si>
    <t>CHA120184</t>
  </si>
  <si>
    <t>CHA150026</t>
  </si>
  <si>
    <t>CHA120186</t>
  </si>
  <si>
    <t>CHA120187</t>
  </si>
  <si>
    <t>CHA150027</t>
  </si>
  <si>
    <t>CHA120188</t>
  </si>
  <si>
    <t>CHA150028</t>
  </si>
  <si>
    <t>CHA120190</t>
  </si>
  <si>
    <t>CHA120191</t>
  </si>
  <si>
    <t>CHA140027</t>
  </si>
  <si>
    <t>CHA120193</t>
  </si>
  <si>
    <t>CHA120194</t>
  </si>
  <si>
    <t>CHA120195</t>
  </si>
  <si>
    <t>CHA130046</t>
  </si>
  <si>
    <t>CHA120199</t>
  </si>
  <si>
    <t>CHA140029</t>
  </si>
  <si>
    <t>CHA120203</t>
  </si>
  <si>
    <t>CHA120204</t>
  </si>
  <si>
    <t>CHA120208</t>
  </si>
  <si>
    <t>CHA140030</t>
  </si>
  <si>
    <t>CHA120209</t>
  </si>
  <si>
    <t>CHA120235</t>
  </si>
  <si>
    <t>CHA150029</t>
  </si>
  <si>
    <t>CHA120210</t>
  </si>
  <si>
    <t>CHA120212</t>
  </si>
  <si>
    <t>CHA140032</t>
  </si>
  <si>
    <t>CHA120213</t>
  </si>
  <si>
    <t>CHA120216</t>
  </si>
  <si>
    <t>CHA120214</t>
  </si>
  <si>
    <t>CHA120218</t>
  </si>
  <si>
    <t>CHA120220</t>
  </si>
  <si>
    <t>CHA150030</t>
  </si>
  <si>
    <t>CHA150032</t>
  </si>
  <si>
    <t>CHA150033</t>
  </si>
  <si>
    <t>CHA150040</t>
  </si>
  <si>
    <t>CHA150036</t>
  </si>
  <si>
    <t>CHA150037</t>
  </si>
  <si>
    <t>CHA130035</t>
  </si>
  <si>
    <t>CHA140033</t>
  </si>
  <si>
    <t>CHA120215</t>
  </si>
  <si>
    <t>CHA150038</t>
  </si>
  <si>
    <t>CHA120221</t>
  </si>
  <si>
    <t>CHA150039</t>
  </si>
  <si>
    <t>CHA120250</t>
  </si>
  <si>
    <t>CHA120226</t>
  </si>
  <si>
    <t>CHA120227</t>
  </si>
  <si>
    <t>CHA120230</t>
  </si>
  <si>
    <t>CHA140034</t>
  </si>
  <si>
    <t>CHA120232</t>
  </si>
  <si>
    <t>CHA120233</t>
  </si>
  <si>
    <t>CHA120234</t>
  </si>
  <si>
    <t>CHA120236</t>
  </si>
  <si>
    <t>CHA120237</t>
  </si>
  <si>
    <t>CHA120238</t>
  </si>
  <si>
    <t>CHA130047</t>
  </si>
  <si>
    <t>CHA120239</t>
  </si>
  <si>
    <t>CHA120240</t>
  </si>
  <si>
    <t>CHA150041</t>
  </si>
  <si>
    <t>CHA130049</t>
  </si>
  <si>
    <t>CHA120243</t>
  </si>
  <si>
    <t>CHA140035</t>
  </si>
  <si>
    <t>CHA120245</t>
  </si>
  <si>
    <t>CHA120247</t>
  </si>
  <si>
    <t>CHA120248</t>
  </si>
  <si>
    <t>CHA120251</t>
  </si>
  <si>
    <t>CHA120253</t>
  </si>
  <si>
    <t>CHA120258</t>
  </si>
  <si>
    <t>CHA130050</t>
  </si>
  <si>
    <t>CHA140037</t>
  </si>
  <si>
    <t>CHA120260</t>
  </si>
  <si>
    <t>CHA150045</t>
  </si>
  <si>
    <t>CHA120261</t>
  </si>
  <si>
    <t>CHA120263</t>
  </si>
  <si>
    <t>CHA120264</t>
  </si>
  <si>
    <t>CHA120266</t>
  </si>
  <si>
    <t>CHA120269</t>
  </si>
  <si>
    <t>CHA140038</t>
  </si>
  <si>
    <t>CHA120272</t>
  </si>
  <si>
    <t>CHA120273</t>
  </si>
  <si>
    <t>CHA150046</t>
  </si>
  <si>
    <t>CHA130057</t>
  </si>
  <si>
    <t>CHA120275</t>
  </si>
  <si>
    <t>CHA120282</t>
  </si>
  <si>
    <t>CHA120283</t>
  </si>
  <si>
    <t>CHA120287</t>
  </si>
  <si>
    <t>CHA160001</t>
  </si>
  <si>
    <t>CHA160002</t>
  </si>
  <si>
    <t>CHA160003</t>
  </si>
  <si>
    <t>CHA160004</t>
  </si>
  <si>
    <t>CHA160005</t>
  </si>
  <si>
    <t>CHA160006</t>
  </si>
  <si>
    <t>CHA160007</t>
  </si>
  <si>
    <t>CHA160008</t>
  </si>
  <si>
    <t>CHA160009</t>
  </si>
  <si>
    <t>CHA160010</t>
  </si>
  <si>
    <t>CHA160011</t>
  </si>
  <si>
    <t>CHA160012</t>
  </si>
  <si>
    <t>CHA160013</t>
  </si>
  <si>
    <t>CHA160014</t>
  </si>
  <si>
    <t>CHA160015</t>
  </si>
  <si>
    <t>CHA160016</t>
  </si>
  <si>
    <t>CHA160017</t>
  </si>
  <si>
    <t>CHA160018</t>
  </si>
  <si>
    <t>CHA160019</t>
  </si>
  <si>
    <t>CHA160020</t>
  </si>
  <si>
    <t>CHA160021</t>
  </si>
  <si>
    <t>CHA160022</t>
  </si>
  <si>
    <t>CHA160023</t>
  </si>
  <si>
    <t>CHA160024</t>
  </si>
  <si>
    <t>CHA160025</t>
  </si>
  <si>
    <t>CHA160026</t>
  </si>
  <si>
    <t>CHA160027</t>
  </si>
  <si>
    <t>CHA160028</t>
  </si>
  <si>
    <t>CHA160029</t>
  </si>
  <si>
    <t>CHA160030</t>
  </si>
  <si>
    <t>CHA160031</t>
  </si>
  <si>
    <t>CHA160032</t>
  </si>
  <si>
    <t>CHA160033</t>
  </si>
  <si>
    <t>CHA160034</t>
  </si>
  <si>
    <t>CHA160035</t>
  </si>
  <si>
    <t>CHA160036</t>
  </si>
  <si>
    <t>CHA160037</t>
  </si>
  <si>
    <t>CHA160038</t>
  </si>
  <si>
    <t>CHA160039</t>
  </si>
  <si>
    <t>CHA160040</t>
  </si>
  <si>
    <t>CHA160041</t>
  </si>
  <si>
    <t>CHA160042</t>
  </si>
  <si>
    <t>CHA160043</t>
  </si>
  <si>
    <t>CHA160044</t>
  </si>
  <si>
    <t>CHA160045</t>
  </si>
  <si>
    <t>CHA160046</t>
  </si>
  <si>
    <t>CHA160047</t>
  </si>
  <si>
    <t>CHA160048</t>
  </si>
  <si>
    <t>Aesthetics (Music + Art)</t>
  </si>
  <si>
    <t>G.Science</t>
  </si>
  <si>
    <t>HPE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</si>
</sst>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2" xfId="0" applyBorder="1" applyAlignment="1">
      <alignment horizontal="center" textRotation="90"/>
    </xf>
    <xf numFmtId="0" fontId="0" fillId="0" borderId="3" xfId="0" applyBorder="1" applyAlignment="1">
      <alignment horizontal="center" textRotation="90"/>
    </xf>
    <xf numFmtId="0" fontId="0" fillId="0" borderId="0" xfId="0" applyAlignment="1">
      <alignment horizontal="center" textRotation="90"/>
    </xf>
    <xf numFmtId="0" fontId="0" fillId="2" borderId="1" xfId="0" applyFill="1" applyBorder="1"/>
    <xf numFmtId="0" fontId="0" fillId="3" borderId="1" xfId="0" applyFill="1" applyBorder="1"/>
    <xf numFmtId="0" fontId="3" fillId="0" borderId="1" xfId="0" applyFont="1" applyBorder="1"/>
    <xf numFmtId="0" fontId="3" fillId="0" borderId="4" xfId="0" applyFont="1" applyBorder="1"/>
    <xf numFmtId="0" fontId="0" fillId="4" borderId="1" xfId="0" applyFill="1" applyBorder="1"/>
    <xf numFmtId="0" fontId="0" fillId="0" borderId="3" xfId="0" applyBorder="1"/>
    <xf numFmtId="0" fontId="0" fillId="3" borderId="0" xfId="0" applyFill="1"/>
    <xf numFmtId="0" fontId="0" fillId="3" borderId="6" xfId="0" applyFill="1" applyBorder="1"/>
    <xf numFmtId="0" fontId="0" fillId="3" borderId="5" xfId="0" applyFill="1" applyBorder="1"/>
    <xf numFmtId="0" fontId="0" fillId="3" borderId="4" xfId="0" applyFill="1" applyBorder="1"/>
    <xf numFmtId="0" fontId="0" fillId="3" borderId="0" xfId="0" applyFill="1" applyAlignment="1">
      <alignment horizontal="center" textRotation="90"/>
    </xf>
    <xf numFmtId="0" fontId="0" fillId="3" borderId="3" xfId="0" applyFill="1" applyBorder="1" applyAlignment="1">
      <alignment horizontal="center" textRotation="90"/>
    </xf>
    <xf numFmtId="0" fontId="0" fillId="3" borderId="2" xfId="0" applyFill="1" applyBorder="1" applyAlignment="1">
      <alignment horizontal="center" textRotation="90"/>
    </xf>
    <xf numFmtId="0" fontId="0" fillId="0" borderId="7" xfId="0" applyBorder="1" applyAlignment="1">
      <alignment horizontal="center" textRotation="90"/>
    </xf>
    <xf numFmtId="0" fontId="0" fillId="0" borderId="1" xfId="0" applyFont="1" applyFill="1" applyBorder="1"/>
    <xf numFmtId="0" fontId="5" fillId="3" borderId="1" xfId="0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0" fontId="0" fillId="0" borderId="8" xfId="0" applyBorder="1"/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0" fillId="3" borderId="1" xfId="0" applyFont="1" applyFill="1" applyBorder="1"/>
    <xf numFmtId="0" fontId="6" fillId="3" borderId="1" xfId="0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2" fontId="0" fillId="3" borderId="1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 textRotation="90"/>
    </xf>
    <xf numFmtId="0" fontId="0" fillId="0" borderId="10" xfId="0" applyBorder="1" applyAlignment="1">
      <alignment horizontal="center" textRotation="90"/>
    </xf>
    <xf numFmtId="0" fontId="0" fillId="0" borderId="1" xfId="0" applyBorder="1" applyAlignment="1">
      <alignment horizontal="center" textRotation="90"/>
    </xf>
    <xf numFmtId="0" fontId="0" fillId="3" borderId="3" xfId="0" applyFill="1" applyBorder="1"/>
    <xf numFmtId="0" fontId="7" fillId="0" borderId="1" xfId="0" applyFont="1" applyBorder="1" applyAlignment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4" borderId="6" xfId="0" applyFill="1" applyBorder="1"/>
    <xf numFmtId="0" fontId="7" fillId="4" borderId="1" xfId="0" applyFont="1" applyFill="1" applyBorder="1" applyAlignment="1"/>
    <xf numFmtId="0" fontId="0" fillId="0" borderId="1" xfId="0" applyFill="1" applyBorder="1" applyAlignment="1">
      <alignment horizontal="left"/>
    </xf>
    <xf numFmtId="0" fontId="0" fillId="0" borderId="4" xfId="0" applyFill="1" applyBorder="1"/>
    <xf numFmtId="0" fontId="0" fillId="0" borderId="1" xfId="0" applyFill="1" applyBorder="1"/>
    <xf numFmtId="0" fontId="0" fillId="0" borderId="0" xfId="0" applyFill="1"/>
    <xf numFmtId="0" fontId="0" fillId="0" borderId="6" xfId="0" applyFill="1" applyBorder="1" applyAlignment="1">
      <alignment horizontal="left"/>
    </xf>
    <xf numFmtId="0" fontId="8" fillId="0" borderId="1" xfId="0" applyFont="1" applyBorder="1" applyAlignment="1">
      <alignment horizontal="center" textRotation="90"/>
    </xf>
  </cellXfs>
  <cellStyles count="5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Normal" xfId="0" builtinId="0"/>
  </cellStyles>
  <dxfs count="36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</font>
      <fill>
        <patternFill patternType="none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fgColor indexed="64"/>
          <bgColor theme="0"/>
        </patternFill>
      </fill>
    </dxf>
    <dxf>
      <border>
        <bottom style="thin">
          <color rgb="FF000000"/>
        </bottom>
      </border>
    </dxf>
    <dxf>
      <fill>
        <patternFill>
          <fgColor indexed="64"/>
          <bgColor theme="0"/>
        </patternFill>
      </fill>
      <alignment horizontal="center" vertical="bottom" textRotation="9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Roster%20Sem1%20Q2%202016_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haric"/>
      <sheetName val="English"/>
      <sheetName val="Mathematics"/>
      <sheetName val="Physics"/>
      <sheetName val="Chemistry"/>
      <sheetName val="Biology"/>
      <sheetName val="SocialStudies"/>
      <sheetName val="Civ"/>
      <sheetName val="Comp"/>
      <sheetName val="PE"/>
      <sheetName val="1stQuarterRoster"/>
      <sheetName val="2nd Quarter Roster"/>
      <sheetName val="3rd Quarter Roster"/>
      <sheetName val="4th Quarter Roster"/>
      <sheetName val="Woreda Statistics"/>
      <sheetName val="Mark Transfer Sheet"/>
      <sheetName val="Sheet1"/>
    </sheetNames>
    <sheetDataSet>
      <sheetData sheetId="0">
        <row r="12">
          <cell r="AB12">
            <v>81</v>
          </cell>
          <cell r="AC12">
            <v>69</v>
          </cell>
        </row>
        <row r="13">
          <cell r="AB13">
            <v>100</v>
          </cell>
          <cell r="AC13">
            <v>94</v>
          </cell>
        </row>
        <row r="14">
          <cell r="AB14">
            <v>78</v>
          </cell>
          <cell r="AC14">
            <v>54</v>
          </cell>
        </row>
        <row r="15">
          <cell r="AB15">
            <v>88</v>
          </cell>
          <cell r="AC15">
            <v>84</v>
          </cell>
        </row>
        <row r="16">
          <cell r="AB16">
            <v>88</v>
          </cell>
          <cell r="AC16">
            <v>78</v>
          </cell>
        </row>
        <row r="17">
          <cell r="AB17">
            <v>98</v>
          </cell>
          <cell r="AC17">
            <v>87</v>
          </cell>
        </row>
        <row r="18">
          <cell r="AB18">
            <v>92</v>
          </cell>
          <cell r="AC18">
            <v>71</v>
          </cell>
        </row>
        <row r="19">
          <cell r="AB19">
            <v>90</v>
          </cell>
          <cell r="AC19">
            <v>94</v>
          </cell>
        </row>
        <row r="20">
          <cell r="AB20">
            <v>100</v>
          </cell>
          <cell r="AC20">
            <v>93</v>
          </cell>
        </row>
        <row r="21">
          <cell r="AB21">
            <v>100</v>
          </cell>
          <cell r="AC21">
            <v>95</v>
          </cell>
        </row>
        <row r="22">
          <cell r="AB22">
            <v>75</v>
          </cell>
          <cell r="AC22">
            <v>60</v>
          </cell>
        </row>
        <row r="23">
          <cell r="AB23">
            <v>99</v>
          </cell>
          <cell r="AC23">
            <v>91</v>
          </cell>
        </row>
        <row r="24">
          <cell r="AB24">
            <v>94</v>
          </cell>
          <cell r="AC24">
            <v>89</v>
          </cell>
        </row>
        <row r="25">
          <cell r="AB25">
            <v>100</v>
          </cell>
          <cell r="AC25">
            <v>98</v>
          </cell>
        </row>
        <row r="26">
          <cell r="AB26">
            <v>100</v>
          </cell>
          <cell r="AC26">
            <v>98</v>
          </cell>
        </row>
        <row r="27">
          <cell r="AB27">
            <v>97</v>
          </cell>
          <cell r="AC27">
            <v>78</v>
          </cell>
        </row>
        <row r="28">
          <cell r="AB28">
            <v>100</v>
          </cell>
          <cell r="AC28">
            <v>90</v>
          </cell>
        </row>
        <row r="29">
          <cell r="AB29">
            <v>100</v>
          </cell>
          <cell r="AC29">
            <v>85</v>
          </cell>
        </row>
      </sheetData>
      <sheetData sheetId="1">
        <row r="12">
          <cell r="AB12">
            <v>59</v>
          </cell>
          <cell r="AC12">
            <v>40</v>
          </cell>
        </row>
        <row r="13">
          <cell r="AB13">
            <v>73</v>
          </cell>
          <cell r="AC13">
            <v>63</v>
          </cell>
        </row>
        <row r="14">
          <cell r="AB14">
            <v>60</v>
          </cell>
          <cell r="AC14">
            <v>62</v>
          </cell>
        </row>
        <row r="15">
          <cell r="AB15">
            <v>93</v>
          </cell>
          <cell r="AC15">
            <v>69</v>
          </cell>
        </row>
        <row r="16">
          <cell r="AB16">
            <v>40</v>
          </cell>
          <cell r="AC16">
            <v>32</v>
          </cell>
        </row>
        <row r="17">
          <cell r="AB17">
            <v>76</v>
          </cell>
          <cell r="AC17">
            <v>65</v>
          </cell>
        </row>
        <row r="18">
          <cell r="AB18">
            <v>97</v>
          </cell>
          <cell r="AC18">
            <v>78</v>
          </cell>
        </row>
        <row r="19">
          <cell r="AB19">
            <v>85</v>
          </cell>
          <cell r="AC19">
            <v>72</v>
          </cell>
        </row>
        <row r="20">
          <cell r="AB20">
            <v>79</v>
          </cell>
          <cell r="AC20">
            <v>66</v>
          </cell>
        </row>
        <row r="21">
          <cell r="AB21">
            <v>83</v>
          </cell>
          <cell r="AC21">
            <v>65</v>
          </cell>
        </row>
        <row r="22">
          <cell r="AB22">
            <v>44</v>
          </cell>
          <cell r="AC22">
            <v>44</v>
          </cell>
        </row>
        <row r="23">
          <cell r="AB23">
            <v>51</v>
          </cell>
          <cell r="AC23">
            <v>49</v>
          </cell>
        </row>
        <row r="24">
          <cell r="AB24">
            <v>100</v>
          </cell>
          <cell r="AC24">
            <v>82</v>
          </cell>
        </row>
        <row r="25">
          <cell r="AB25">
            <v>83</v>
          </cell>
          <cell r="AC25">
            <v>84</v>
          </cell>
        </row>
        <row r="26">
          <cell r="AB26">
            <v>96</v>
          </cell>
          <cell r="AC26">
            <v>89</v>
          </cell>
        </row>
        <row r="27">
          <cell r="AB27">
            <v>73</v>
          </cell>
          <cell r="AC27">
            <v>55</v>
          </cell>
        </row>
        <row r="28">
          <cell r="AB28">
            <v>89</v>
          </cell>
          <cell r="AC28">
            <v>74</v>
          </cell>
        </row>
        <row r="29">
          <cell r="AB29">
            <v>70</v>
          </cell>
          <cell r="AC29">
            <v>61</v>
          </cell>
        </row>
      </sheetData>
      <sheetData sheetId="2">
        <row r="12">
          <cell r="AB12">
            <v>63</v>
          </cell>
          <cell r="AC12">
            <v>51</v>
          </cell>
        </row>
        <row r="13">
          <cell r="AB13">
            <v>87</v>
          </cell>
          <cell r="AC13">
            <v>68</v>
          </cell>
        </row>
        <row r="14">
          <cell r="AB14">
            <v>66</v>
          </cell>
          <cell r="AC14">
            <v>67</v>
          </cell>
        </row>
        <row r="15">
          <cell r="AB15">
            <v>82</v>
          </cell>
          <cell r="AC15">
            <v>65</v>
          </cell>
        </row>
        <row r="16">
          <cell r="AB16">
            <v>66</v>
          </cell>
          <cell r="AC16">
            <v>47</v>
          </cell>
        </row>
        <row r="17">
          <cell r="AB17">
            <v>93</v>
          </cell>
          <cell r="AC17">
            <v>90</v>
          </cell>
        </row>
        <row r="18">
          <cell r="AB18">
            <v>86</v>
          </cell>
          <cell r="AC18">
            <v>80</v>
          </cell>
        </row>
        <row r="19">
          <cell r="AB19">
            <v>100</v>
          </cell>
          <cell r="AC19">
            <v>100</v>
          </cell>
        </row>
        <row r="20">
          <cell r="AB20">
            <v>96</v>
          </cell>
          <cell r="AC20">
            <v>76</v>
          </cell>
        </row>
        <row r="21">
          <cell r="AB21">
            <v>98</v>
          </cell>
          <cell r="AC21">
            <v>79</v>
          </cell>
        </row>
        <row r="22">
          <cell r="AB22">
            <v>51</v>
          </cell>
          <cell r="AC22">
            <v>58</v>
          </cell>
        </row>
        <row r="23">
          <cell r="AB23">
            <v>70</v>
          </cell>
          <cell r="AC23">
            <v>64</v>
          </cell>
        </row>
        <row r="24">
          <cell r="AB24">
            <v>93</v>
          </cell>
          <cell r="AC24">
            <v>83</v>
          </cell>
        </row>
        <row r="25">
          <cell r="AB25">
            <v>100</v>
          </cell>
          <cell r="AC25">
            <v>100</v>
          </cell>
        </row>
        <row r="26">
          <cell r="AB26">
            <v>97</v>
          </cell>
          <cell r="AC26">
            <v>78</v>
          </cell>
        </row>
        <row r="27">
          <cell r="AB27">
            <v>83</v>
          </cell>
          <cell r="AC27">
            <v>82</v>
          </cell>
        </row>
        <row r="28">
          <cell r="AB28">
            <v>100</v>
          </cell>
          <cell r="AC28">
            <v>97</v>
          </cell>
        </row>
        <row r="29">
          <cell r="AB29">
            <v>84</v>
          </cell>
          <cell r="AC29">
            <v>77</v>
          </cell>
        </row>
      </sheetData>
      <sheetData sheetId="3">
        <row r="12">
          <cell r="AB12">
            <v>50</v>
          </cell>
          <cell r="AC12">
            <v>51</v>
          </cell>
        </row>
        <row r="13">
          <cell r="AB13">
            <v>83</v>
          </cell>
          <cell r="AC13">
            <v>71</v>
          </cell>
        </row>
        <row r="14">
          <cell r="AB14">
            <v>53</v>
          </cell>
          <cell r="AC14">
            <v>57</v>
          </cell>
        </row>
        <row r="15">
          <cell r="AB15">
            <v>77</v>
          </cell>
          <cell r="AC15">
            <v>73</v>
          </cell>
        </row>
        <row r="16">
          <cell r="AB16">
            <v>25</v>
          </cell>
          <cell r="AC16">
            <v>32</v>
          </cell>
        </row>
        <row r="17">
          <cell r="AB17">
            <v>85</v>
          </cell>
          <cell r="AC17">
            <v>81</v>
          </cell>
        </row>
        <row r="18">
          <cell r="AB18">
            <v>83</v>
          </cell>
          <cell r="AC18">
            <v>77</v>
          </cell>
        </row>
        <row r="19">
          <cell r="AB19">
            <v>92</v>
          </cell>
          <cell r="AC19">
            <v>90</v>
          </cell>
        </row>
        <row r="20">
          <cell r="AB20">
            <v>82</v>
          </cell>
          <cell r="AC20">
            <v>72</v>
          </cell>
        </row>
        <row r="21">
          <cell r="AB21">
            <v>75</v>
          </cell>
          <cell r="AC21">
            <v>71</v>
          </cell>
        </row>
        <row r="22">
          <cell r="AB22">
            <v>19</v>
          </cell>
          <cell r="AC22">
            <v>37</v>
          </cell>
        </row>
        <row r="23">
          <cell r="AB23">
            <v>67</v>
          </cell>
          <cell r="AC23">
            <v>72</v>
          </cell>
        </row>
        <row r="24">
          <cell r="AB24">
            <v>70</v>
          </cell>
          <cell r="AC24">
            <v>73</v>
          </cell>
        </row>
        <row r="25">
          <cell r="AB25">
            <v>96</v>
          </cell>
          <cell r="AC25">
            <v>91</v>
          </cell>
        </row>
        <row r="26">
          <cell r="AB26">
            <v>86</v>
          </cell>
          <cell r="AC26">
            <v>73</v>
          </cell>
        </row>
        <row r="27">
          <cell r="AB27">
            <v>74</v>
          </cell>
          <cell r="AC27">
            <v>76</v>
          </cell>
        </row>
        <row r="28">
          <cell r="AB28">
            <v>92</v>
          </cell>
          <cell r="AC28">
            <v>91</v>
          </cell>
        </row>
        <row r="29">
          <cell r="AB29">
            <v>82</v>
          </cell>
          <cell r="AC29">
            <v>84</v>
          </cell>
        </row>
      </sheetData>
      <sheetData sheetId="4">
        <row r="12">
          <cell r="AB12">
            <v>56</v>
          </cell>
          <cell r="AC12">
            <v>58</v>
          </cell>
        </row>
        <row r="13">
          <cell r="AB13">
            <v>78</v>
          </cell>
          <cell r="AC13">
            <v>88</v>
          </cell>
        </row>
        <row r="14">
          <cell r="AB14">
            <v>70</v>
          </cell>
          <cell r="AC14">
            <v>74</v>
          </cell>
        </row>
        <row r="15">
          <cell r="AB15">
            <v>94</v>
          </cell>
          <cell r="AC15">
            <v>97</v>
          </cell>
        </row>
        <row r="16">
          <cell r="AB16">
            <v>50</v>
          </cell>
          <cell r="AC16">
            <v>49</v>
          </cell>
        </row>
        <row r="17">
          <cell r="AB17">
            <v>91</v>
          </cell>
          <cell r="AC17">
            <v>94</v>
          </cell>
        </row>
        <row r="18">
          <cell r="AB18">
            <v>83</v>
          </cell>
          <cell r="AC18">
            <v>99</v>
          </cell>
        </row>
        <row r="19">
          <cell r="AB19">
            <v>100</v>
          </cell>
          <cell r="AC19">
            <v>97</v>
          </cell>
        </row>
        <row r="20">
          <cell r="AB20">
            <v>94</v>
          </cell>
          <cell r="AC20">
            <v>69</v>
          </cell>
        </row>
        <row r="21">
          <cell r="AB21">
            <v>84</v>
          </cell>
          <cell r="AC21">
            <v>78</v>
          </cell>
        </row>
        <row r="22">
          <cell r="AB22">
            <v>70</v>
          </cell>
          <cell r="AC22">
            <v>60</v>
          </cell>
        </row>
        <row r="23">
          <cell r="AB23">
            <v>81</v>
          </cell>
          <cell r="AC23">
            <v>90</v>
          </cell>
        </row>
        <row r="24">
          <cell r="AB24">
            <v>81</v>
          </cell>
          <cell r="AC24">
            <v>95</v>
          </cell>
        </row>
        <row r="25">
          <cell r="AB25">
            <v>100</v>
          </cell>
          <cell r="AC25">
            <v>100</v>
          </cell>
        </row>
        <row r="26">
          <cell r="AB26">
            <v>97</v>
          </cell>
          <cell r="AC26">
            <v>89</v>
          </cell>
        </row>
        <row r="27">
          <cell r="AB27">
            <v>83</v>
          </cell>
          <cell r="AC27">
            <v>84</v>
          </cell>
        </row>
        <row r="28">
          <cell r="AB28">
            <v>100</v>
          </cell>
          <cell r="AC28">
            <v>98</v>
          </cell>
        </row>
        <row r="29">
          <cell r="AB29">
            <v>88</v>
          </cell>
          <cell r="AC29">
            <v>88</v>
          </cell>
        </row>
      </sheetData>
      <sheetData sheetId="5">
        <row r="12">
          <cell r="AB12">
            <v>77</v>
          </cell>
          <cell r="AC12">
            <v>88</v>
          </cell>
        </row>
        <row r="13">
          <cell r="AB13">
            <v>86</v>
          </cell>
          <cell r="AC13">
            <v>90</v>
          </cell>
        </row>
        <row r="14">
          <cell r="AB14">
            <v>87</v>
          </cell>
          <cell r="AC14">
            <v>72</v>
          </cell>
        </row>
        <row r="15">
          <cell r="AB15">
            <v>91</v>
          </cell>
          <cell r="AC15">
            <v>95</v>
          </cell>
        </row>
        <row r="16">
          <cell r="AB16">
            <v>60</v>
          </cell>
          <cell r="AC16">
            <v>51</v>
          </cell>
        </row>
        <row r="17">
          <cell r="AB17">
            <v>86</v>
          </cell>
          <cell r="AC17">
            <v>86</v>
          </cell>
        </row>
        <row r="18">
          <cell r="AB18">
            <v>89</v>
          </cell>
          <cell r="AC18">
            <v>96</v>
          </cell>
        </row>
        <row r="19">
          <cell r="AB19">
            <v>93</v>
          </cell>
          <cell r="AC19">
            <v>90</v>
          </cell>
        </row>
        <row r="20">
          <cell r="AB20">
            <v>85</v>
          </cell>
          <cell r="AC20">
            <v>83</v>
          </cell>
        </row>
        <row r="21">
          <cell r="AB21">
            <v>80</v>
          </cell>
          <cell r="AC21">
            <v>96</v>
          </cell>
        </row>
        <row r="22">
          <cell r="AB22">
            <v>70</v>
          </cell>
          <cell r="AC22">
            <v>53</v>
          </cell>
        </row>
        <row r="23">
          <cell r="AB23">
            <v>85</v>
          </cell>
          <cell r="AC23">
            <v>89</v>
          </cell>
        </row>
        <row r="24">
          <cell r="AB24">
            <v>90</v>
          </cell>
          <cell r="AC24">
            <v>99</v>
          </cell>
        </row>
        <row r="25">
          <cell r="AB25">
            <v>91</v>
          </cell>
          <cell r="AC25">
            <v>100</v>
          </cell>
        </row>
        <row r="26">
          <cell r="AB26">
            <v>93</v>
          </cell>
          <cell r="AC26">
            <v>92</v>
          </cell>
        </row>
        <row r="27">
          <cell r="AB27">
            <v>85</v>
          </cell>
          <cell r="AC27">
            <v>85</v>
          </cell>
        </row>
        <row r="28">
          <cell r="AB28">
            <v>100</v>
          </cell>
          <cell r="AC28">
            <v>100</v>
          </cell>
        </row>
        <row r="29">
          <cell r="AB29">
            <v>88</v>
          </cell>
          <cell r="AC29">
            <v>95</v>
          </cell>
        </row>
      </sheetData>
      <sheetData sheetId="6">
        <row r="12">
          <cell r="AB12">
            <v>79</v>
          </cell>
          <cell r="AC12">
            <v>65</v>
          </cell>
        </row>
        <row r="13">
          <cell r="AB13">
            <v>95</v>
          </cell>
          <cell r="AC13">
            <v>88</v>
          </cell>
        </row>
        <row r="14">
          <cell r="AB14">
            <v>73</v>
          </cell>
          <cell r="AC14">
            <v>85</v>
          </cell>
        </row>
        <row r="15">
          <cell r="AB15">
            <v>98</v>
          </cell>
          <cell r="AC15">
            <v>95</v>
          </cell>
        </row>
        <row r="16">
          <cell r="AB16">
            <v>52</v>
          </cell>
          <cell r="AC16">
            <v>49</v>
          </cell>
        </row>
        <row r="17">
          <cell r="AB17">
            <v>88</v>
          </cell>
          <cell r="AC17">
            <v>86</v>
          </cell>
        </row>
        <row r="18">
          <cell r="AB18">
            <v>98</v>
          </cell>
          <cell r="AC18">
            <v>92</v>
          </cell>
        </row>
        <row r="19">
          <cell r="AB19">
            <v>100</v>
          </cell>
          <cell r="AC19">
            <v>99</v>
          </cell>
        </row>
        <row r="20">
          <cell r="AB20">
            <v>91</v>
          </cell>
          <cell r="AC20">
            <v>79</v>
          </cell>
        </row>
        <row r="21">
          <cell r="AB21">
            <v>84</v>
          </cell>
          <cell r="AC21">
            <v>78</v>
          </cell>
        </row>
        <row r="22">
          <cell r="AB22">
            <v>52</v>
          </cell>
          <cell r="AC22">
            <v>61</v>
          </cell>
        </row>
        <row r="23">
          <cell r="AB23">
            <v>78</v>
          </cell>
          <cell r="AC23">
            <v>86</v>
          </cell>
        </row>
        <row r="24">
          <cell r="AB24">
            <v>90</v>
          </cell>
          <cell r="AC24">
            <v>92</v>
          </cell>
        </row>
        <row r="25">
          <cell r="AB25">
            <v>100</v>
          </cell>
          <cell r="AC25">
            <v>100</v>
          </cell>
        </row>
        <row r="26">
          <cell r="AB26">
            <v>92</v>
          </cell>
          <cell r="AC26">
            <v>92</v>
          </cell>
        </row>
        <row r="27">
          <cell r="AB27">
            <v>85</v>
          </cell>
          <cell r="AC27">
            <v>90</v>
          </cell>
        </row>
        <row r="28">
          <cell r="AB28">
            <v>98</v>
          </cell>
          <cell r="AC28">
            <v>97</v>
          </cell>
        </row>
        <row r="29">
          <cell r="AB29">
            <v>98</v>
          </cell>
          <cell r="AC29">
            <v>86</v>
          </cell>
        </row>
      </sheetData>
      <sheetData sheetId="7">
        <row r="12">
          <cell r="AB12">
            <v>68</v>
          </cell>
          <cell r="AC12">
            <v>76</v>
          </cell>
        </row>
        <row r="13">
          <cell r="AB13">
            <v>78</v>
          </cell>
          <cell r="AC13">
            <v>90</v>
          </cell>
        </row>
        <row r="14">
          <cell r="AB14">
            <v>75</v>
          </cell>
          <cell r="AC14">
            <v>72</v>
          </cell>
        </row>
        <row r="15">
          <cell r="AB15">
            <v>87</v>
          </cell>
          <cell r="AC15">
            <v>87</v>
          </cell>
        </row>
        <row r="16">
          <cell r="AB16">
            <v>57</v>
          </cell>
          <cell r="AC16">
            <v>85</v>
          </cell>
        </row>
        <row r="17">
          <cell r="AB17">
            <v>81</v>
          </cell>
          <cell r="AC17">
            <v>95</v>
          </cell>
        </row>
        <row r="18">
          <cell r="AB18">
            <v>86</v>
          </cell>
          <cell r="AC18">
            <v>83</v>
          </cell>
        </row>
        <row r="19">
          <cell r="AB19">
            <v>87</v>
          </cell>
          <cell r="AC19">
            <v>98</v>
          </cell>
        </row>
        <row r="20">
          <cell r="AB20">
            <v>83</v>
          </cell>
          <cell r="AC20">
            <v>99</v>
          </cell>
        </row>
        <row r="21">
          <cell r="AB21">
            <v>90</v>
          </cell>
          <cell r="AC21">
            <v>97</v>
          </cell>
        </row>
        <row r="22">
          <cell r="AB22">
            <v>41</v>
          </cell>
          <cell r="AC22">
            <v>73</v>
          </cell>
        </row>
        <row r="23">
          <cell r="AB23">
            <v>87</v>
          </cell>
          <cell r="AC23">
            <v>87</v>
          </cell>
        </row>
        <row r="24">
          <cell r="AB24">
            <v>88</v>
          </cell>
          <cell r="AC24">
            <v>89</v>
          </cell>
        </row>
        <row r="25">
          <cell r="AB25">
            <v>98</v>
          </cell>
          <cell r="AC25">
            <v>99</v>
          </cell>
        </row>
        <row r="26">
          <cell r="AB26">
            <v>85</v>
          </cell>
          <cell r="AC26">
            <v>98</v>
          </cell>
        </row>
        <row r="27">
          <cell r="AB27">
            <v>84</v>
          </cell>
          <cell r="AC27">
            <v>90</v>
          </cell>
        </row>
        <row r="28">
          <cell r="AB28">
            <v>91</v>
          </cell>
          <cell r="AC28">
            <v>98</v>
          </cell>
        </row>
        <row r="29">
          <cell r="AB29">
            <v>89</v>
          </cell>
          <cell r="AC29">
            <v>95</v>
          </cell>
        </row>
      </sheetData>
      <sheetData sheetId="8">
        <row r="12">
          <cell r="AB12" t="str">
            <v>C</v>
          </cell>
          <cell r="AC12" t="str">
            <v>C</v>
          </cell>
        </row>
        <row r="13">
          <cell r="AB13" t="str">
            <v>B</v>
          </cell>
          <cell r="AC13" t="str">
            <v>C</v>
          </cell>
        </row>
        <row r="14">
          <cell r="AB14" t="str">
            <v>C</v>
          </cell>
          <cell r="AC14" t="str">
            <v>D</v>
          </cell>
        </row>
        <row r="16">
          <cell r="AB16" t="str">
            <v>C</v>
          </cell>
          <cell r="AC16" t="str">
            <v>D</v>
          </cell>
        </row>
        <row r="17">
          <cell r="AB17" t="str">
            <v>C</v>
          </cell>
          <cell r="AC17" t="str">
            <v>A</v>
          </cell>
        </row>
        <row r="18">
          <cell r="AB18" t="str">
            <v>B</v>
          </cell>
          <cell r="AC18" t="str">
            <v>A</v>
          </cell>
        </row>
        <row r="19">
          <cell r="AB19" t="str">
            <v>B</v>
          </cell>
          <cell r="AC19" t="str">
            <v>C</v>
          </cell>
        </row>
        <row r="20">
          <cell r="AB20" t="str">
            <v>B</v>
          </cell>
          <cell r="AC20" t="str">
            <v>C</v>
          </cell>
        </row>
        <row r="21">
          <cell r="AB21" t="str">
            <v>B</v>
          </cell>
        </row>
        <row r="22">
          <cell r="AB22" t="str">
            <v>C</v>
          </cell>
          <cell r="AC22" t="str">
            <v>D</v>
          </cell>
        </row>
        <row r="23">
          <cell r="AB23" t="str">
            <v>C</v>
          </cell>
          <cell r="AC23" t="str">
            <v>D</v>
          </cell>
        </row>
        <row r="24">
          <cell r="AB24" t="str">
            <v>C</v>
          </cell>
          <cell r="AC24" t="str">
            <v>B</v>
          </cell>
        </row>
        <row r="25">
          <cell r="AB25" t="str">
            <v>A</v>
          </cell>
          <cell r="AC25" t="str">
            <v>A</v>
          </cell>
        </row>
        <row r="26">
          <cell r="AB26" t="str">
            <v>C</v>
          </cell>
          <cell r="AC26" t="str">
            <v>A</v>
          </cell>
        </row>
        <row r="27">
          <cell r="AB27" t="str">
            <v>B</v>
          </cell>
          <cell r="AC27" t="str">
            <v>A</v>
          </cell>
        </row>
        <row r="28">
          <cell r="AB28" t="str">
            <v>B</v>
          </cell>
          <cell r="AC28" t="str">
            <v>A</v>
          </cell>
        </row>
        <row r="29">
          <cell r="AB29" t="str">
            <v>B</v>
          </cell>
          <cell r="AC29" t="str">
            <v>C</v>
          </cell>
        </row>
      </sheetData>
      <sheetData sheetId="9">
        <row r="12">
          <cell r="AB12" t="str">
            <v>A</v>
          </cell>
          <cell r="AC12" t="str">
            <v>A</v>
          </cell>
        </row>
        <row r="13">
          <cell r="AB13" t="str">
            <v>A</v>
          </cell>
          <cell r="AC13" t="str">
            <v>A</v>
          </cell>
        </row>
        <row r="14">
          <cell r="AB14" t="str">
            <v>A</v>
          </cell>
          <cell r="AC14" t="str">
            <v>A</v>
          </cell>
        </row>
        <row r="16">
          <cell r="AB16" t="str">
            <v>A</v>
          </cell>
          <cell r="AC16" t="str">
            <v>A</v>
          </cell>
        </row>
        <row r="17">
          <cell r="AB17" t="str">
            <v>A</v>
          </cell>
          <cell r="AC17" t="str">
            <v>A</v>
          </cell>
        </row>
        <row r="18">
          <cell r="AB18" t="str">
            <v>A</v>
          </cell>
          <cell r="AC18" t="str">
            <v>A</v>
          </cell>
        </row>
        <row r="19">
          <cell r="AB19" t="str">
            <v>A</v>
          </cell>
          <cell r="AC19" t="str">
            <v>A</v>
          </cell>
        </row>
        <row r="20">
          <cell r="AB20" t="str">
            <v>A</v>
          </cell>
          <cell r="AC20" t="str">
            <v>A</v>
          </cell>
        </row>
        <row r="21">
          <cell r="AB21" t="str">
            <v>A</v>
          </cell>
          <cell r="AC21" t="str">
            <v>A</v>
          </cell>
        </row>
        <row r="22">
          <cell r="AB22" t="str">
            <v>A</v>
          </cell>
          <cell r="AC22" t="str">
            <v>A</v>
          </cell>
        </row>
        <row r="23">
          <cell r="AB23" t="str">
            <v>A</v>
          </cell>
          <cell r="AC23" t="str">
            <v>A</v>
          </cell>
        </row>
        <row r="24">
          <cell r="AB24" t="str">
            <v>A</v>
          </cell>
          <cell r="AC24" t="str">
            <v>A</v>
          </cell>
        </row>
        <row r="25">
          <cell r="AB25" t="str">
            <v>A</v>
          </cell>
          <cell r="AC25" t="str">
            <v>A</v>
          </cell>
        </row>
        <row r="26">
          <cell r="AB26" t="str">
            <v>A</v>
          </cell>
          <cell r="AC26" t="str">
            <v>A</v>
          </cell>
        </row>
        <row r="27">
          <cell r="AB27" t="str">
            <v>A</v>
          </cell>
          <cell r="AC27" t="str">
            <v>A</v>
          </cell>
        </row>
        <row r="28">
          <cell r="AB28" t="str">
            <v>A</v>
          </cell>
          <cell r="AC28" t="str">
            <v>A</v>
          </cell>
        </row>
        <row r="29">
          <cell r="AB29" t="str">
            <v>A</v>
          </cell>
          <cell r="AC29" t="str">
            <v>A</v>
          </cell>
        </row>
      </sheetData>
      <sheetData sheetId="10"/>
      <sheetData sheetId="11"/>
      <sheetData sheetId="12"/>
      <sheetData sheetId="13">
        <row r="1169">
          <cell r="K1169">
            <v>16</v>
          </cell>
          <cell r="L1169">
            <v>16</v>
          </cell>
        </row>
      </sheetData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id="1" name="Table1" displayName="Table1" ref="A1:S43" totalsRowShown="0" headerRowDxfId="367" headerRowBorderDxfId="366" tableBorderDxfId="365" totalsRowBorderDxfId="364">
  <autoFilter ref="A1:S43"/>
  <tableColumns count="19">
    <tableColumn id="1" name="No." dataDxfId="363"/>
    <tableColumn id="2" name="Student's Name" dataDxfId="362"/>
    <tableColumn id="32" name="Age" dataDxfId="361"/>
    <tableColumn id="16" name="Sex" dataDxfId="360"/>
    <tableColumn id="17" name="ID Number" dataDxfId="359"/>
    <tableColumn id="18" name="Registration Date" dataDxfId="358"/>
    <tableColumn id="3" name="Semester" dataDxfId="357"/>
    <tableColumn id="4" name="Amharic" dataDxfId="356"/>
    <tableColumn id="5" name="English" dataDxfId="355"/>
    <tableColumn id="6" name="Mathematics" dataDxfId="354"/>
    <tableColumn id="7" name="G.Science" dataDxfId="353"/>
    <tableColumn id="8" name="Social Studies" dataDxfId="352"/>
    <tableColumn id="9" name="Aesthetics (Music + Art)" dataDxfId="351"/>
    <tableColumn id="10" name="Computer" dataDxfId="350"/>
    <tableColumn id="11" name="Total" dataDxfId="349"/>
    <tableColumn id="12" name="Average" dataDxfId="348"/>
    <tableColumn id="13" name="Rank" dataDxfId="347"/>
    <tableColumn id="14" name="Conduct" dataDxfId="346"/>
    <tableColumn id="15" name="Remark" dataDxfId="34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1" name="Table134512" displayName="Table134512" ref="A1:S43" totalsRowShown="0" headerRowDxfId="344" headerRowBorderDxfId="343" tableBorderDxfId="342" totalsRowBorderDxfId="341">
  <autoFilter ref="A1:S43"/>
  <tableColumns count="19">
    <tableColumn id="1" name="No." dataDxfId="340"/>
    <tableColumn id="2" name="Student's Name" dataDxfId="339"/>
    <tableColumn id="16" name="Age" dataDxfId="338"/>
    <tableColumn id="33" name="Sex" dataDxfId="337"/>
    <tableColumn id="32" name="Id Number" dataDxfId="336"/>
    <tableColumn id="17" name="Registration Date" dataDxfId="335"/>
    <tableColumn id="3" name="Quarters" dataDxfId="334"/>
    <tableColumn id="4" name="Amharic" dataDxfId="333"/>
    <tableColumn id="5" name="English" dataDxfId="332"/>
    <tableColumn id="6" name="Mathematics" dataDxfId="331"/>
    <tableColumn id="7" name="G.Science" dataDxfId="330"/>
    <tableColumn id="8" name="Social Studies" dataDxfId="329"/>
    <tableColumn id="9" name="Aesthetics (Music + Art)" dataDxfId="328"/>
    <tableColumn id="10" name="Computer" dataDxfId="327"/>
    <tableColumn id="11" name="Total" dataDxfId="326"/>
    <tableColumn id="12" name="Average" dataDxfId="325"/>
    <tableColumn id="13" name="Rank" dataDxfId="324"/>
    <tableColumn id="14" name="Conduct" dataDxfId="323"/>
    <tableColumn id="15" name="Remark" dataDxfId="3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134" displayName="Table134" ref="A1:S69" totalsRowShown="0" headerRowDxfId="321" headerRowBorderDxfId="320" tableBorderDxfId="319" totalsRowBorderDxfId="318">
  <autoFilter ref="A1:S69"/>
  <tableColumns count="19">
    <tableColumn id="1" name="No." dataDxfId="317"/>
    <tableColumn id="2" name="Name of the Student " dataDxfId="316"/>
    <tableColumn id="16" name="Age" dataDxfId="315"/>
    <tableColumn id="33" name="Sex" dataDxfId="314"/>
    <tableColumn id="32" name="ID Number" dataDxfId="313"/>
    <tableColumn id="17" name="Registration Date" dataDxfId="312"/>
    <tableColumn id="3" name="Quarters" dataDxfId="311"/>
    <tableColumn id="4" name="Amharic" dataDxfId="310"/>
    <tableColumn id="5" name="English" dataDxfId="309"/>
    <tableColumn id="6" name="Mathematics" dataDxfId="308"/>
    <tableColumn id="7" name="G.Science" dataDxfId="307"/>
    <tableColumn id="8" name="Social Studies" dataDxfId="306"/>
    <tableColumn id="9" name="Aesthetics (Music + Art)" dataDxfId="305"/>
    <tableColumn id="10" name="Computer" dataDxfId="304"/>
    <tableColumn id="11" name="Total" dataDxfId="303"/>
    <tableColumn id="12" name="Average" dataDxfId="302"/>
    <tableColumn id="13" name="Rank" dataDxfId="301"/>
    <tableColumn id="14" name="Conduct" dataDxfId="300"/>
    <tableColumn id="15" name="Remark" dataDxfId="29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e1345" displayName="Table1345" ref="A1:S45" totalsRowShown="0" headerRowDxfId="298" headerRowBorderDxfId="297" tableBorderDxfId="296" totalsRowBorderDxfId="295">
  <autoFilter ref="A1:S45"/>
  <tableColumns count="19">
    <tableColumn id="1" name="No." dataDxfId="294"/>
    <tableColumn id="2" name="Name of the Student " dataDxfId="293"/>
    <tableColumn id="16" name="Age" dataDxfId="292"/>
    <tableColumn id="33" name="Sex" dataDxfId="291"/>
    <tableColumn id="32" name="ID Number" dataDxfId="290"/>
    <tableColumn id="17" name="Registration Date" dataDxfId="289"/>
    <tableColumn id="3" name="Semester" dataDxfId="288"/>
    <tableColumn id="4" name="Amharic" dataDxfId="287"/>
    <tableColumn id="5" name="English" dataDxfId="286"/>
    <tableColumn id="6" name="Mathematics" dataDxfId="285"/>
    <tableColumn id="7" name="G.Science" dataDxfId="284"/>
    <tableColumn id="8" name="Social Studies" dataDxfId="283"/>
    <tableColumn id="9" name="Aesthetics (Music + Art)" dataDxfId="282"/>
    <tableColumn id="10" name="Computer" dataDxfId="281"/>
    <tableColumn id="11" name="Total" dataDxfId="280"/>
    <tableColumn id="12" name="Average" dataDxfId="279"/>
    <tableColumn id="13" name="Rank" dataDxfId="278"/>
    <tableColumn id="14" name="Conduct" dataDxfId="277"/>
    <tableColumn id="15" name="Remark" dataDxfId="27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e13456" displayName="Table13456" ref="A1:S61" totalsRowShown="0" headerRowDxfId="275" headerRowBorderDxfId="274" tableBorderDxfId="273" totalsRowBorderDxfId="272">
  <autoFilter ref="A1:S61"/>
  <tableColumns count="19">
    <tableColumn id="1" name="No." dataDxfId="271"/>
    <tableColumn id="2" name="Name of the Student " dataDxfId="270"/>
    <tableColumn id="16" name="Age" dataDxfId="269"/>
    <tableColumn id="33" name="Sex" dataDxfId="268"/>
    <tableColumn id="32" name="ID Number" dataDxfId="267"/>
    <tableColumn id="17" name="Registration Date" dataDxfId="266"/>
    <tableColumn id="3" name="Semester" dataDxfId="265"/>
    <tableColumn id="4" name="Amharic" dataDxfId="264"/>
    <tableColumn id="5" name="English" dataDxfId="263"/>
    <tableColumn id="6" name="Mathematics" dataDxfId="262"/>
    <tableColumn id="7" name="G.Science" dataDxfId="261"/>
    <tableColumn id="8" name="Social Studies" dataDxfId="260"/>
    <tableColumn id="9" name="Aesthetics (Music + Art)" dataDxfId="259"/>
    <tableColumn id="10" name="Computer" dataDxfId="258"/>
    <tableColumn id="11" name="Total" dataDxfId="257"/>
    <tableColumn id="12" name="Average" dataDxfId="256"/>
    <tableColumn id="13" name="Rank" dataDxfId="255"/>
    <tableColumn id="14" name="Conduct" dataDxfId="254"/>
    <tableColumn id="15" name="Remark" dataDxfId="25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able134567" displayName="Table134567" ref="A1:S69" totalsRowShown="0" headerRowDxfId="252" headerRowBorderDxfId="251" tableBorderDxfId="250" totalsRowBorderDxfId="249">
  <autoFilter ref="A1:S69"/>
  <tableColumns count="19">
    <tableColumn id="1" name="No." dataDxfId="248"/>
    <tableColumn id="2" name="Name of the Student " dataDxfId="247"/>
    <tableColumn id="16" name="Age" dataDxfId="246"/>
    <tableColumn id="33" name="Sex" dataDxfId="245"/>
    <tableColumn id="32" name="ID Number" dataDxfId="244"/>
    <tableColumn id="17" name="Regsitration Date" dataDxfId="243"/>
    <tableColumn id="3" name="Quarters" dataDxfId="242"/>
    <tableColumn id="4" name="Amharic" dataDxfId="241"/>
    <tableColumn id="5" name="English" dataDxfId="240"/>
    <tableColumn id="6" name="Mathematics" dataDxfId="239"/>
    <tableColumn id="7" name="G.Science" dataDxfId="238"/>
    <tableColumn id="8" name="Social Studies" dataDxfId="237"/>
    <tableColumn id="9" name="Aesthetics (Music + Art)" dataDxfId="236"/>
    <tableColumn id="10" name="Computer" dataDxfId="235"/>
    <tableColumn id="11" name="Total" dataDxfId="234"/>
    <tableColumn id="12" name="Average" dataDxfId="233"/>
    <tableColumn id="13" name="Rank" dataDxfId="232"/>
    <tableColumn id="14" name="Conduct" dataDxfId="231"/>
    <tableColumn id="15" name="Remark" dataDxfId="23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2" name="Table134567812" displayName="Table134567812" ref="A1:T37" totalsRowShown="0" headerRowDxfId="229" headerRowBorderDxfId="228" tableBorderDxfId="227" totalsRowBorderDxfId="226">
  <autoFilter ref="A1:T37"/>
  <tableColumns count="20">
    <tableColumn id="1" name="No." dataDxfId="225"/>
    <tableColumn id="2" name="Name of the Student " dataDxfId="224"/>
    <tableColumn id="16" name="Age" dataDxfId="223"/>
    <tableColumn id="33" name="Sex" dataDxfId="222"/>
    <tableColumn id="17" name="ID Number" dataDxfId="221"/>
    <tableColumn id="32" name="Registration Date" dataDxfId="220"/>
    <tableColumn id="3" name="Semester" dataDxfId="219"/>
    <tableColumn id="4" name="Amharic" dataDxfId="218"/>
    <tableColumn id="5" name="English" dataDxfId="217"/>
    <tableColumn id="6" name="Mathematics" dataDxfId="216"/>
    <tableColumn id="7" name="G.Science" dataDxfId="215"/>
    <tableColumn id="8" name="Social Studies" dataDxfId="214"/>
    <tableColumn id="34" name="Civics" dataDxfId="213"/>
    <tableColumn id="9" name="Aesthetics (Music + Art)" dataDxfId="212"/>
    <tableColumn id="10" name="Computer" dataDxfId="211"/>
    <tableColumn id="11" name="Total" dataDxfId="210"/>
    <tableColumn id="12" name="Average" dataDxfId="209"/>
    <tableColumn id="13" name="Rank" dataDxfId="208"/>
    <tableColumn id="14" name="Conduct" dataDxfId="207"/>
    <tableColumn id="15" name="Remark" dataDxfId="206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16" name="Table134567817" displayName="Table134567817" ref="A1:T41" totalsRowShown="0" headerRowDxfId="205" dataDxfId="203" headerRowBorderDxfId="204" tableBorderDxfId="202" totalsRowBorderDxfId="201">
  <autoFilter ref="A1:T41"/>
  <tableColumns count="20">
    <tableColumn id="1" name="No." dataDxfId="200"/>
    <tableColumn id="2" name="Students Name" dataDxfId="199"/>
    <tableColumn id="16" name="Age" dataDxfId="198"/>
    <tableColumn id="33" name="Sex" dataDxfId="197"/>
    <tableColumn id="32" name="ID Number" dataDxfId="196"/>
    <tableColumn id="17" name="Registration Date" dataDxfId="195"/>
    <tableColumn id="3" name="Semester" dataDxfId="194"/>
    <tableColumn id="4" name="Amharic" dataDxfId="193"/>
    <tableColumn id="5" name="English" dataDxfId="192"/>
    <tableColumn id="6" name="Mathematics" dataDxfId="191"/>
    <tableColumn id="7" name="G.Science" dataDxfId="190"/>
    <tableColumn id="8" name="Social Studies" dataDxfId="189"/>
    <tableColumn id="34" name="Civics" dataDxfId="188"/>
    <tableColumn id="9" name="Aesthetics (Music + Art)" dataDxfId="187"/>
    <tableColumn id="10" name="Computer" dataDxfId="186"/>
    <tableColumn id="11" name="Total" dataDxfId="185"/>
    <tableColumn id="12" name="Average" dataDxfId="184"/>
    <tableColumn id="13" name="Rank" dataDxfId="183"/>
    <tableColumn id="14" name="Conduct" dataDxfId="182"/>
    <tableColumn id="15" name="Remark" dataDxfId="18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17" name="Table1345678918" displayName="Table1345678918" ref="A1:T43" totalsRowShown="0" headerRowDxfId="180" headerRowBorderDxfId="179" tableBorderDxfId="178" totalsRowBorderDxfId="177">
  <autoFilter ref="A1:T43"/>
  <tableColumns count="20">
    <tableColumn id="1" name="No." dataDxfId="176"/>
    <tableColumn id="2" name="Student's Name" dataDxfId="175"/>
    <tableColumn id="16" name="Age" dataDxfId="174"/>
    <tableColumn id="33" name="Sex" dataDxfId="173"/>
    <tableColumn id="32" name="ID Number" dataDxfId="172"/>
    <tableColumn id="17" name="Registration Date" dataDxfId="171"/>
    <tableColumn id="3" name="Semester" dataDxfId="170"/>
    <tableColumn id="4" name="Amharic" dataDxfId="169"/>
    <tableColumn id="5" name="English" dataDxfId="168"/>
    <tableColumn id="6" name="Mathematics" dataDxfId="167"/>
    <tableColumn id="7" name="G.Science" dataDxfId="166"/>
    <tableColumn id="8" name="Social Studies" dataDxfId="165"/>
    <tableColumn id="34" name="Civics" dataDxfId="164"/>
    <tableColumn id="9" name="Aesthetics (Music + Art)" dataDxfId="163"/>
    <tableColumn id="10" name="Computer" dataDxfId="162"/>
    <tableColumn id="11" name="Total" dataDxfId="161"/>
    <tableColumn id="12" name="Average" dataDxfId="160"/>
    <tableColumn id="13" name="Rank" dataDxfId="159"/>
    <tableColumn id="14" name="Conduct" dataDxfId="158"/>
    <tableColumn id="15" name="Remark" dataDxfId="157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8" name="Table134567891019" displayName="Table134567891019" ref="A1:T45" totalsRowShown="0" headerRowDxfId="156" headerRowBorderDxfId="155" tableBorderDxfId="154" totalsRowBorderDxfId="153">
  <autoFilter ref="A1:T45"/>
  <tableColumns count="20">
    <tableColumn id="1" name="No." dataDxfId="152"/>
    <tableColumn id="2" name="Student's Name" dataDxfId="151"/>
    <tableColumn id="33" name="Age" dataDxfId="150"/>
    <tableColumn id="16" name="Sex" dataDxfId="149"/>
    <tableColumn id="32" name="ID number" dataDxfId="148"/>
    <tableColumn id="17" name="Registration date" dataDxfId="147"/>
    <tableColumn id="3" name="Semester" dataDxfId="146"/>
    <tableColumn id="4" name="Amharic" dataDxfId="145"/>
    <tableColumn id="5" name="English" dataDxfId="144"/>
    <tableColumn id="6" name="Mathematics" dataDxfId="143"/>
    <tableColumn id="7" name="G.Science" dataDxfId="142"/>
    <tableColumn id="8" name="Social Studies" dataDxfId="141"/>
    <tableColumn id="34" name="Civics" dataDxfId="140"/>
    <tableColumn id="9" name="Aesthetics (Music + Art)" dataDxfId="139"/>
    <tableColumn id="10" name="Computer" dataDxfId="138"/>
    <tableColumn id="11" name="Total" dataDxfId="137"/>
    <tableColumn id="12" name="Average" dataDxfId="136"/>
    <tableColumn id="13" name="Rank" dataDxfId="135"/>
    <tableColumn id="14" name="Conduct" dataDxfId="134"/>
    <tableColumn id="15" name="Remark" dataDxfId="133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9" name="Table13456789101120" displayName="Table13456789101120" ref="A1:V49" totalsRowShown="0" headerRowDxfId="132" headerRowBorderDxfId="131" tableBorderDxfId="130" totalsRowBorderDxfId="129">
  <autoFilter ref="A1:V49"/>
  <tableColumns count="22">
    <tableColumn id="1" name="No." dataDxfId="128"/>
    <tableColumn id="2" name="Student's name" dataDxfId="127"/>
    <tableColumn id="9" name="Age" dataDxfId="126"/>
    <tableColumn id="33" name="Sex" dataDxfId="125"/>
    <tableColumn id="32" name="ID Number" dataDxfId="124"/>
    <tableColumn id="16" name="Registration Date" dataDxfId="123"/>
    <tableColumn id="3" name="Semester" dataDxfId="122"/>
    <tableColumn id="4" name="Amharic" dataDxfId="121"/>
    <tableColumn id="5" name="English" dataDxfId="120"/>
    <tableColumn id="6" name="Mathematics" dataDxfId="119"/>
    <tableColumn id="36" name="Physics" dataDxfId="118"/>
    <tableColumn id="35" name="Chemistry" dataDxfId="117"/>
    <tableColumn id="7" name="Biology" dataDxfId="116"/>
    <tableColumn id="8" name="Social Studies" dataDxfId="115"/>
    <tableColumn id="34" name="Civics" dataDxfId="114"/>
    <tableColumn id="10" name="Computer" dataDxfId="113"/>
    <tableColumn id="37" name="HPE" dataDxfId="112"/>
    <tableColumn id="11" name="Total" dataDxfId="111"/>
    <tableColumn id="12" name="Average" dataDxfId="110"/>
    <tableColumn id="13" name="Rank" dataDxfId="109"/>
    <tableColumn id="14" name="Conduct" dataDxfId="108"/>
    <tableColumn id="15" name="Remark" dataDxfId="107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20" name="Table134567891011121321" displayName="Table134567891011121321" ref="A1:W41" totalsRowShown="0" headerRowDxfId="106" headerRowBorderDxfId="105" tableBorderDxfId="104" totalsRowBorderDxfId="103">
  <autoFilter ref="A1:W41"/>
  <tableColumns count="23">
    <tableColumn id="1" name="No." dataDxfId="102"/>
    <tableColumn id="2" name="Student's Name" dataDxfId="101"/>
    <tableColumn id="16" name="Age" dataDxfId="100"/>
    <tableColumn id="33" name="Sex" dataDxfId="99"/>
    <tableColumn id="32" name="ID Number" dataDxfId="98"/>
    <tableColumn id="17" name="Registration date" dataDxfId="97"/>
    <tableColumn id="3" name="Semester" dataDxfId="96"/>
    <tableColumn id="4" name="Amharic" dataDxfId="95"/>
    <tableColumn id="5" name="English" dataDxfId="94"/>
    <tableColumn id="6" name="Mathematics" dataDxfId="93"/>
    <tableColumn id="36" name="Physics" dataDxfId="92"/>
    <tableColumn id="35" name="Chemistry" dataDxfId="91"/>
    <tableColumn id="7" name="Biology" dataDxfId="90"/>
    <tableColumn id="8" name="Social Studies" dataDxfId="89"/>
    <tableColumn id="34" name="Civics" dataDxfId="88"/>
    <tableColumn id="10" name="Computer" dataDxfId="87"/>
    <tableColumn id="37" name="HPE" dataDxfId="86"/>
    <tableColumn id="11" name="Total" dataDxfId="85"/>
    <tableColumn id="12" name="Average" dataDxfId="84"/>
    <tableColumn id="13" name="Rank" dataDxfId="83"/>
    <tableColumn id="14" name="Conduct" dataDxfId="82"/>
    <tableColumn id="15" name="Remark" dataDxfId="81"/>
    <tableColumn id="9" name="Column1" dataDxfId="80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21" name="Table13456789101112131422" displayName="Table13456789101112131422" ref="A1:V37" totalsRowShown="0" headerRowDxfId="79" headerRowBorderDxfId="78" tableBorderDxfId="77" totalsRowBorderDxfId="76">
  <autoFilter ref="A1:V37"/>
  <tableColumns count="22">
    <tableColumn id="1" name="No." dataDxfId="75"/>
    <tableColumn id="2" name="Student's Name" dataDxfId="74"/>
    <tableColumn id="9" name="Age" dataDxfId="73"/>
    <tableColumn id="33" name="Sex" dataDxfId="72"/>
    <tableColumn id="32" name="ID Number" dataDxfId="71"/>
    <tableColumn id="16" name="Registration date" dataDxfId="70"/>
    <tableColumn id="3" name="Semester" dataDxfId="69"/>
    <tableColumn id="4" name="Amharic" dataDxfId="68"/>
    <tableColumn id="5" name="English" dataDxfId="67"/>
    <tableColumn id="6" name="Mathematics" dataDxfId="66"/>
    <tableColumn id="36" name="Physics" dataDxfId="65"/>
    <tableColumn id="35" name="Chemistry" dataDxfId="64"/>
    <tableColumn id="7" name="Biology" dataDxfId="63"/>
    <tableColumn id="8" name="Social Studies" dataDxfId="62"/>
    <tableColumn id="34" name="Civics" dataDxfId="61"/>
    <tableColumn id="10" name="Computer" dataDxfId="60"/>
    <tableColumn id="37" name="HPE" dataDxfId="59"/>
    <tableColumn id="11" name="Total" dataDxfId="58"/>
    <tableColumn id="12" name="Average" dataDxfId="57"/>
    <tableColumn id="13" name="Rank" dataDxfId="56"/>
    <tableColumn id="14" name="Conduct" dataDxfId="55"/>
    <tableColumn id="15" name="Remark" dataDxfId="54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22" name="Table1345678910111213141523" displayName="Table1345678910111213141523" ref="A1:W37" totalsRowShown="0" headerRowDxfId="53" headerRowBorderDxfId="52" tableBorderDxfId="51" totalsRowBorderDxfId="50">
  <autoFilter ref="A1:W37"/>
  <tableColumns count="23">
    <tableColumn id="1" name="No." dataDxfId="49"/>
    <tableColumn id="2" name="Student's Name" dataDxfId="48"/>
    <tableColumn id="16" name="Age" dataDxfId="47"/>
    <tableColumn id="33" name="Sex" dataDxfId="46"/>
    <tableColumn id="32" name="ID Number" dataDxfId="45"/>
    <tableColumn id="17" name="Registration Date" dataDxfId="44"/>
    <tableColumn id="3" name="Semester" dataDxfId="43"/>
    <tableColumn id="4" name="Amharic" dataDxfId="42"/>
    <tableColumn id="5" name="English" dataDxfId="41"/>
    <tableColumn id="6" name="Mathematics" dataDxfId="40"/>
    <tableColumn id="36" name="Physics" dataDxfId="39"/>
    <tableColumn id="35" name="Chemistry" dataDxfId="38"/>
    <tableColumn id="7" name="Biology" dataDxfId="37"/>
    <tableColumn id="9" name="Geography" dataDxfId="36"/>
    <tableColumn id="8" name="History" dataDxfId="35"/>
    <tableColumn id="34" name="Civics" dataDxfId="34"/>
    <tableColumn id="10" name="Computer" dataDxfId="33"/>
    <tableColumn id="37" name="HPE" dataDxfId="32"/>
    <tableColumn id="11" name="Total" dataDxfId="31"/>
    <tableColumn id="12" name="Average" dataDxfId="30"/>
    <tableColumn id="13" name="Rank" dataDxfId="29"/>
    <tableColumn id="14" name="Conduct" dataDxfId="28"/>
    <tableColumn id="15" name="Remark" dataDxfId="27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23" name="Table134567891011121314151624" displayName="Table134567891011121314151624" ref="A1:W41" totalsRowShown="0" headerRowDxfId="26" headerRowBorderDxfId="25" tableBorderDxfId="24" totalsRowBorderDxfId="23">
  <autoFilter ref="A1:W41"/>
  <tableColumns count="23">
    <tableColumn id="1" name="No." dataDxfId="22"/>
    <tableColumn id="2" name="Student's Name" dataDxfId="21"/>
    <tableColumn id="16" name="Age" dataDxfId="20"/>
    <tableColumn id="33" name="Sex" dataDxfId="19"/>
    <tableColumn id="32" name="ID Number" dataDxfId="18"/>
    <tableColumn id="17" name="Registration Date" dataDxfId="17"/>
    <tableColumn id="3" name="Semester" dataDxfId="16"/>
    <tableColumn id="4" name="Amharic" dataDxfId="15"/>
    <tableColumn id="5" name="English" dataDxfId="14"/>
    <tableColumn id="6" name="Mathematics" dataDxfId="13"/>
    <tableColumn id="36" name="Physics" dataDxfId="12"/>
    <tableColumn id="35" name="Chemistry" dataDxfId="11"/>
    <tableColumn id="7" name="Biology" dataDxfId="10"/>
    <tableColumn id="9" name="Geography" dataDxfId="9"/>
    <tableColumn id="8" name="History" dataDxfId="8"/>
    <tableColumn id="34" name="Civics" dataDxfId="7"/>
    <tableColumn id="10" name="Computer" dataDxfId="6"/>
    <tableColumn id="37" name="HPE" dataDxfId="5"/>
    <tableColumn id="11" name="Total" dataDxfId="4"/>
    <tableColumn id="12" name="Average" dataDxfId="3"/>
    <tableColumn id="13" name="Rank" dataDxfId="2"/>
    <tableColumn id="14" name="Conduct" dataDxfId="1"/>
    <tableColumn id="15" name="Remark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T43"/>
  <sheetViews>
    <sheetView zoomScale="85" zoomScaleNormal="85" zoomScalePageLayoutView="85" workbookViewId="0">
      <selection activeCell="O1" sqref="O1"/>
    </sheetView>
  </sheetViews>
  <sheetFormatPr defaultColWidth="11.125" defaultRowHeight="15.75" x14ac:dyDescent="0.25"/>
  <cols>
    <col min="1" max="1" width="7.5" customWidth="1"/>
    <col min="2" max="2" width="25.625" customWidth="1"/>
    <col min="3" max="4" width="8.5" customWidth="1"/>
    <col min="5" max="5" width="10.625" bestFit="1" customWidth="1"/>
    <col min="6" max="6" width="8.5" customWidth="1"/>
    <col min="13" max="19" width="8.625" bestFit="1" customWidth="1"/>
  </cols>
  <sheetData>
    <row r="1" spans="1:20" ht="132.75" x14ac:dyDescent="0.25">
      <c r="A1" s="52" t="s">
        <v>0</v>
      </c>
      <c r="B1" s="52" t="s">
        <v>382</v>
      </c>
      <c r="C1" s="52" t="s">
        <v>3</v>
      </c>
      <c r="D1" s="52" t="s">
        <v>2</v>
      </c>
      <c r="E1" s="52" t="s">
        <v>383</v>
      </c>
      <c r="F1" s="52" t="s">
        <v>384</v>
      </c>
      <c r="G1" s="52" t="s">
        <v>385</v>
      </c>
      <c r="H1" s="52" t="s">
        <v>5</v>
      </c>
      <c r="I1" s="52" t="s">
        <v>6</v>
      </c>
      <c r="J1" s="52" t="s">
        <v>7</v>
      </c>
      <c r="K1" s="52" t="s">
        <v>736</v>
      </c>
      <c r="L1" s="52" t="s">
        <v>8</v>
      </c>
      <c r="M1" s="52" t="s">
        <v>735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7"/>
    </row>
    <row r="2" spans="1:20" x14ac:dyDescent="0.25">
      <c r="A2" s="1">
        <v>1</v>
      </c>
      <c r="B2" s="2" t="s">
        <v>15</v>
      </c>
      <c r="C2" s="2"/>
      <c r="D2" s="2"/>
      <c r="E2" s="2" t="s">
        <v>392</v>
      </c>
      <c r="F2" s="2"/>
      <c r="G2" s="2" t="s">
        <v>16</v>
      </c>
      <c r="H2" s="2">
        <v>90</v>
      </c>
      <c r="I2" s="2">
        <v>94</v>
      </c>
      <c r="J2" s="2">
        <v>100</v>
      </c>
      <c r="K2" s="2">
        <v>91.5</v>
      </c>
      <c r="L2" s="2">
        <v>88</v>
      </c>
      <c r="M2" s="2" t="s">
        <v>19</v>
      </c>
      <c r="N2" s="2" t="s">
        <v>19</v>
      </c>
      <c r="O2" s="2">
        <v>463.5</v>
      </c>
      <c r="P2" s="2">
        <v>92.7</v>
      </c>
      <c r="Q2" s="2">
        <v>15</v>
      </c>
      <c r="R2" s="2" t="s">
        <v>20</v>
      </c>
      <c r="S2" s="2"/>
    </row>
    <row r="3" spans="1:20" x14ac:dyDescent="0.25">
      <c r="A3" s="1"/>
      <c r="B3" s="2"/>
      <c r="C3" s="2"/>
      <c r="D3" s="2"/>
      <c r="E3" s="2"/>
      <c r="F3" s="2"/>
      <c r="G3" s="2" t="s">
        <v>17</v>
      </c>
      <c r="H3" s="2">
        <v>84</v>
      </c>
      <c r="I3" s="2">
        <v>76.5</v>
      </c>
      <c r="J3" s="2">
        <v>97</v>
      </c>
      <c r="K3" s="2">
        <v>88.5</v>
      </c>
      <c r="L3" s="2">
        <v>86</v>
      </c>
      <c r="M3" s="2"/>
      <c r="N3" s="2" t="s">
        <v>20</v>
      </c>
      <c r="O3" s="2">
        <v>432</v>
      </c>
      <c r="P3" s="2">
        <v>86.4</v>
      </c>
      <c r="Q3" s="2">
        <v>18</v>
      </c>
      <c r="R3" s="2" t="s">
        <v>20</v>
      </c>
      <c r="S3" s="2"/>
    </row>
    <row r="4" spans="1:20" x14ac:dyDescent="0.25">
      <c r="A4" s="1">
        <v>2</v>
      </c>
      <c r="B4" s="2" t="s">
        <v>18</v>
      </c>
      <c r="C4" s="2"/>
      <c r="D4" s="2" t="s">
        <v>43</v>
      </c>
      <c r="E4" s="12" t="s">
        <v>687</v>
      </c>
      <c r="F4" s="2"/>
      <c r="G4" s="2" t="s">
        <v>16</v>
      </c>
      <c r="H4" s="2">
        <v>99</v>
      </c>
      <c r="I4" s="2">
        <v>91</v>
      </c>
      <c r="J4" s="2">
        <v>100</v>
      </c>
      <c r="K4" s="2">
        <v>87</v>
      </c>
      <c r="L4" s="2">
        <v>84</v>
      </c>
      <c r="M4" s="2" t="s">
        <v>19</v>
      </c>
      <c r="N4" s="2" t="s">
        <v>21</v>
      </c>
      <c r="O4" s="2">
        <v>461</v>
      </c>
      <c r="P4" s="2">
        <v>92.2</v>
      </c>
      <c r="Q4" s="2">
        <v>16</v>
      </c>
      <c r="R4" s="2" t="s">
        <v>20</v>
      </c>
      <c r="S4" s="2"/>
    </row>
    <row r="5" spans="1:20" x14ac:dyDescent="0.25">
      <c r="A5" s="1"/>
      <c r="B5" s="2"/>
      <c r="C5" s="2"/>
      <c r="D5" s="2"/>
      <c r="E5" s="2"/>
      <c r="F5" s="2"/>
      <c r="G5" s="2" t="s">
        <v>17</v>
      </c>
      <c r="H5" s="2">
        <v>97</v>
      </c>
      <c r="I5" s="2">
        <v>92</v>
      </c>
      <c r="J5" s="2">
        <v>93</v>
      </c>
      <c r="K5" s="2">
        <v>91</v>
      </c>
      <c r="L5" s="2">
        <v>89.5</v>
      </c>
      <c r="M5" s="2"/>
      <c r="N5" s="2" t="s">
        <v>20</v>
      </c>
      <c r="O5" s="2">
        <v>462.5</v>
      </c>
      <c r="P5" s="2">
        <v>92.5</v>
      </c>
      <c r="Q5" s="2">
        <v>100</v>
      </c>
      <c r="R5" s="2" t="s">
        <v>20</v>
      </c>
      <c r="S5" s="2"/>
    </row>
    <row r="6" spans="1:20" x14ac:dyDescent="0.25">
      <c r="A6" s="1">
        <v>3</v>
      </c>
      <c r="B6" s="2" t="s">
        <v>22</v>
      </c>
      <c r="C6" s="2"/>
      <c r="D6" s="2"/>
      <c r="E6" s="2" t="s">
        <v>393</v>
      </c>
      <c r="F6" s="2"/>
      <c r="G6" s="2" t="s">
        <v>16</v>
      </c>
      <c r="H6" s="2">
        <v>100</v>
      </c>
      <c r="I6" s="2">
        <v>100</v>
      </c>
      <c r="J6" s="2">
        <v>100</v>
      </c>
      <c r="K6" s="2">
        <v>100</v>
      </c>
      <c r="L6" s="2">
        <v>99</v>
      </c>
      <c r="M6" s="2" t="s">
        <v>20</v>
      </c>
      <c r="N6" s="2" t="s">
        <v>23</v>
      </c>
      <c r="O6" s="2">
        <v>499</v>
      </c>
      <c r="P6" s="2">
        <v>99.8</v>
      </c>
      <c r="Q6" s="2">
        <v>2</v>
      </c>
      <c r="R6" s="2" t="s">
        <v>20</v>
      </c>
      <c r="S6" s="2"/>
    </row>
    <row r="7" spans="1:20" x14ac:dyDescent="0.25">
      <c r="A7" s="1"/>
      <c r="B7" s="2"/>
      <c r="C7" s="2"/>
      <c r="D7" s="2"/>
      <c r="E7" s="2"/>
      <c r="F7" s="2"/>
      <c r="G7" s="2" t="s">
        <v>17</v>
      </c>
      <c r="H7" s="2">
        <v>99</v>
      </c>
      <c r="I7" s="2">
        <v>100</v>
      </c>
      <c r="J7" s="2">
        <v>99.5</v>
      </c>
      <c r="K7" s="2">
        <v>100</v>
      </c>
      <c r="L7" s="2">
        <v>97</v>
      </c>
      <c r="M7" s="2"/>
      <c r="N7" s="2" t="s">
        <v>20</v>
      </c>
      <c r="O7" s="2">
        <v>495.5</v>
      </c>
      <c r="P7" s="2">
        <v>99.1</v>
      </c>
      <c r="Q7" s="2">
        <v>4</v>
      </c>
      <c r="R7" s="2" t="s">
        <v>20</v>
      </c>
      <c r="S7" s="2"/>
    </row>
    <row r="8" spans="1:20" x14ac:dyDescent="0.25">
      <c r="A8" s="1">
        <v>4</v>
      </c>
      <c r="B8" s="2" t="s">
        <v>24</v>
      </c>
      <c r="C8" s="2"/>
      <c r="D8" s="2"/>
      <c r="E8" s="2" t="s">
        <v>394</v>
      </c>
      <c r="F8" s="2"/>
      <c r="G8" s="2" t="s">
        <v>16</v>
      </c>
      <c r="H8" s="2">
        <v>95</v>
      </c>
      <c r="I8" s="2">
        <v>93</v>
      </c>
      <c r="J8" s="2">
        <v>94</v>
      </c>
      <c r="K8" s="2">
        <v>79.5</v>
      </c>
      <c r="L8" s="2">
        <v>88.5</v>
      </c>
      <c r="M8" s="2" t="s">
        <v>19</v>
      </c>
      <c r="N8" s="2" t="s">
        <v>20</v>
      </c>
      <c r="O8" s="2">
        <v>450</v>
      </c>
      <c r="P8" s="2">
        <v>90</v>
      </c>
      <c r="Q8" s="2">
        <v>19</v>
      </c>
      <c r="R8" s="2" t="s">
        <v>20</v>
      </c>
      <c r="S8" s="2"/>
    </row>
    <row r="9" spans="1:20" x14ac:dyDescent="0.25">
      <c r="A9" s="1"/>
      <c r="B9" s="2"/>
      <c r="C9" s="2"/>
      <c r="D9" s="2"/>
      <c r="E9" s="2"/>
      <c r="F9" s="2"/>
      <c r="G9" s="2" t="s">
        <v>17</v>
      </c>
      <c r="H9" s="2">
        <v>88</v>
      </c>
      <c r="I9" s="2">
        <v>80.5</v>
      </c>
      <c r="J9" s="2">
        <v>90.5</v>
      </c>
      <c r="K9" s="2">
        <v>87</v>
      </c>
      <c r="L9" s="2">
        <v>86</v>
      </c>
      <c r="M9" s="2"/>
      <c r="N9" s="2" t="s">
        <v>20</v>
      </c>
      <c r="O9" s="2">
        <v>432</v>
      </c>
      <c r="P9" s="2">
        <v>86.4</v>
      </c>
      <c r="Q9" s="2">
        <v>18</v>
      </c>
      <c r="R9" s="2" t="s">
        <v>20</v>
      </c>
      <c r="S9" s="2"/>
    </row>
    <row r="10" spans="1:20" x14ac:dyDescent="0.25">
      <c r="A10" s="1">
        <v>5</v>
      </c>
      <c r="B10" s="2" t="s">
        <v>25</v>
      </c>
      <c r="C10" s="2"/>
      <c r="D10" s="2" t="s">
        <v>43</v>
      </c>
      <c r="E10" s="12" t="s">
        <v>688</v>
      </c>
      <c r="F10" s="2"/>
      <c r="G10" s="2" t="s">
        <v>16</v>
      </c>
      <c r="H10" s="2">
        <v>100</v>
      </c>
      <c r="I10" s="2">
        <v>100</v>
      </c>
      <c r="J10" s="2">
        <v>100</v>
      </c>
      <c r="K10" s="2">
        <v>100</v>
      </c>
      <c r="L10" s="2">
        <v>98</v>
      </c>
      <c r="M10" s="2" t="s">
        <v>20</v>
      </c>
      <c r="N10" s="2" t="s">
        <v>20</v>
      </c>
      <c r="O10" s="2">
        <v>498</v>
      </c>
      <c r="P10" s="2">
        <v>99.6</v>
      </c>
      <c r="Q10" s="2">
        <v>4</v>
      </c>
      <c r="R10" s="2" t="s">
        <v>20</v>
      </c>
      <c r="S10" s="2"/>
    </row>
    <row r="11" spans="1:20" x14ac:dyDescent="0.25">
      <c r="A11" s="1"/>
      <c r="B11" s="2"/>
      <c r="C11" s="2"/>
      <c r="D11" s="2"/>
      <c r="E11" s="2"/>
      <c r="F11" s="2"/>
      <c r="G11" s="2" t="s">
        <v>17</v>
      </c>
      <c r="H11" s="2">
        <v>99</v>
      </c>
      <c r="I11" s="2">
        <v>97</v>
      </c>
      <c r="J11" s="2">
        <v>94.5</v>
      </c>
      <c r="K11" s="2">
        <v>100</v>
      </c>
      <c r="L11" s="2">
        <v>100</v>
      </c>
      <c r="M11" s="2"/>
      <c r="N11" s="2" t="s">
        <v>20</v>
      </c>
      <c r="O11" s="2">
        <v>490.5</v>
      </c>
      <c r="P11" s="2">
        <v>98.1</v>
      </c>
      <c r="Q11" s="2">
        <v>5</v>
      </c>
      <c r="R11" s="2" t="s">
        <v>20</v>
      </c>
      <c r="S11" s="2"/>
    </row>
    <row r="12" spans="1:20" x14ac:dyDescent="0.25">
      <c r="A12" s="1">
        <v>6</v>
      </c>
      <c r="B12" s="9" t="s">
        <v>26</v>
      </c>
      <c r="C12" s="2"/>
      <c r="D12" s="2"/>
      <c r="E12" s="2" t="s">
        <v>395</v>
      </c>
      <c r="F12" s="2"/>
      <c r="G12" s="2" t="s">
        <v>16</v>
      </c>
      <c r="H12" s="2">
        <v>99</v>
      </c>
      <c r="I12" s="2">
        <v>97</v>
      </c>
      <c r="J12" s="2">
        <v>100</v>
      </c>
      <c r="K12" s="2">
        <v>82.5</v>
      </c>
      <c r="L12" s="2">
        <v>91</v>
      </c>
      <c r="M12" s="2" t="s">
        <v>19</v>
      </c>
      <c r="N12" s="2" t="s">
        <v>19</v>
      </c>
      <c r="O12" s="2">
        <v>469.5</v>
      </c>
      <c r="P12" s="2">
        <v>93.9</v>
      </c>
      <c r="Q12" s="2">
        <v>14</v>
      </c>
      <c r="R12" s="2" t="s">
        <v>20</v>
      </c>
      <c r="S12" s="2"/>
    </row>
    <row r="13" spans="1:20" x14ac:dyDescent="0.25">
      <c r="A13" s="1"/>
      <c r="B13" s="2"/>
      <c r="C13" s="2"/>
      <c r="D13" s="2"/>
      <c r="E13" s="2"/>
      <c r="F13" s="2"/>
      <c r="G13" s="2" t="s">
        <v>17</v>
      </c>
      <c r="H13" s="2">
        <v>99</v>
      </c>
      <c r="I13" s="2">
        <v>79.5</v>
      </c>
      <c r="J13" s="2">
        <v>78</v>
      </c>
      <c r="K13" s="2">
        <v>97</v>
      </c>
      <c r="L13" s="2">
        <v>84.5</v>
      </c>
      <c r="M13" s="2"/>
      <c r="N13" s="2" t="s">
        <v>20</v>
      </c>
      <c r="O13" s="2">
        <v>438</v>
      </c>
      <c r="P13" s="2">
        <v>87.6</v>
      </c>
      <c r="Q13" s="2">
        <v>14</v>
      </c>
      <c r="R13" s="2"/>
      <c r="S13" s="2"/>
    </row>
    <row r="14" spans="1:20" x14ac:dyDescent="0.25">
      <c r="A14" s="1">
        <v>7</v>
      </c>
      <c r="B14" s="2" t="s">
        <v>27</v>
      </c>
      <c r="C14" s="2"/>
      <c r="D14" s="2" t="s">
        <v>42</v>
      </c>
      <c r="E14" s="12" t="s">
        <v>689</v>
      </c>
      <c r="F14" s="2"/>
      <c r="G14" s="2" t="s">
        <v>16</v>
      </c>
      <c r="H14" s="2">
        <v>96</v>
      </c>
      <c r="I14" s="2">
        <v>85.5</v>
      </c>
      <c r="J14" s="2">
        <v>100</v>
      </c>
      <c r="K14" s="2">
        <v>67.8</v>
      </c>
      <c r="L14" s="2">
        <v>92</v>
      </c>
      <c r="M14" s="2" t="s">
        <v>20</v>
      </c>
      <c r="N14" s="2" t="s">
        <v>20</v>
      </c>
      <c r="O14" s="2">
        <v>441.3</v>
      </c>
      <c r="P14" s="2">
        <v>88.3</v>
      </c>
      <c r="Q14" s="2">
        <v>20</v>
      </c>
      <c r="R14" s="2" t="s">
        <v>20</v>
      </c>
      <c r="S14" s="2"/>
    </row>
    <row r="15" spans="1:20" x14ac:dyDescent="0.25">
      <c r="A15" s="1"/>
      <c r="B15" s="2"/>
      <c r="C15" s="2"/>
      <c r="D15" s="2"/>
      <c r="E15" s="2"/>
      <c r="F15" s="2"/>
      <c r="G15" s="2" t="s">
        <v>17</v>
      </c>
      <c r="H15" s="2">
        <v>89</v>
      </c>
      <c r="I15" s="2">
        <v>88</v>
      </c>
      <c r="J15" s="2">
        <v>90.5</v>
      </c>
      <c r="K15" s="2">
        <v>88.5</v>
      </c>
      <c r="L15" s="2">
        <v>91</v>
      </c>
      <c r="M15" s="2"/>
      <c r="N15" s="2" t="s">
        <v>20</v>
      </c>
      <c r="O15" s="2">
        <v>447</v>
      </c>
      <c r="P15" s="2">
        <v>89.4</v>
      </c>
      <c r="Q15" s="2">
        <v>13</v>
      </c>
      <c r="R15" s="2" t="s">
        <v>20</v>
      </c>
      <c r="S15" s="2"/>
    </row>
    <row r="16" spans="1:20" x14ac:dyDescent="0.25">
      <c r="A16" s="1">
        <v>8</v>
      </c>
      <c r="B16" s="2" t="s">
        <v>28</v>
      </c>
      <c r="C16" s="2"/>
      <c r="D16" s="2"/>
      <c r="E16" s="2" t="s">
        <v>396</v>
      </c>
      <c r="F16" s="2"/>
      <c r="G16" s="2" t="s">
        <v>16</v>
      </c>
      <c r="H16" s="2">
        <v>99</v>
      </c>
      <c r="I16" s="2">
        <v>97</v>
      </c>
      <c r="J16" s="2">
        <v>100</v>
      </c>
      <c r="K16" s="2">
        <v>94</v>
      </c>
      <c r="L16" s="2">
        <v>97</v>
      </c>
      <c r="M16" s="2" t="s">
        <v>20</v>
      </c>
      <c r="N16" s="2" t="s">
        <v>19</v>
      </c>
      <c r="O16" s="2">
        <v>487</v>
      </c>
      <c r="P16" s="2">
        <v>97.4</v>
      </c>
      <c r="Q16" s="2">
        <v>7</v>
      </c>
      <c r="R16" s="2" t="s">
        <v>20</v>
      </c>
      <c r="S16" s="2"/>
    </row>
    <row r="17" spans="1:19" x14ac:dyDescent="0.25">
      <c r="A17" s="1"/>
      <c r="B17" s="2"/>
      <c r="C17" s="2"/>
      <c r="D17" s="2"/>
      <c r="E17" s="2"/>
      <c r="F17" s="2"/>
      <c r="G17" s="2" t="s">
        <v>17</v>
      </c>
      <c r="H17" s="2">
        <v>91</v>
      </c>
      <c r="I17" s="2">
        <v>90</v>
      </c>
      <c r="J17" s="2">
        <v>92.5</v>
      </c>
      <c r="K17" s="2">
        <v>95</v>
      </c>
      <c r="L17" s="2">
        <v>89</v>
      </c>
      <c r="M17" s="2"/>
      <c r="N17" s="2" t="s">
        <v>20</v>
      </c>
      <c r="O17" s="2">
        <v>457.5</v>
      </c>
      <c r="P17" s="2">
        <v>91.5</v>
      </c>
      <c r="Q17" s="2">
        <v>11</v>
      </c>
      <c r="R17" s="2" t="s">
        <v>20</v>
      </c>
      <c r="S17" s="2"/>
    </row>
    <row r="18" spans="1:19" x14ac:dyDescent="0.25">
      <c r="A18" s="1">
        <v>9</v>
      </c>
      <c r="B18" s="2" t="s">
        <v>29</v>
      </c>
      <c r="C18" s="2"/>
      <c r="D18" s="2"/>
      <c r="E18" s="2" t="s">
        <v>397</v>
      </c>
      <c r="F18" s="2"/>
      <c r="G18" s="2" t="s">
        <v>16</v>
      </c>
      <c r="H18" s="2">
        <v>94</v>
      </c>
      <c r="I18" s="2">
        <v>92</v>
      </c>
      <c r="J18" s="2">
        <v>100</v>
      </c>
      <c r="K18" s="2">
        <v>93</v>
      </c>
      <c r="L18" s="2">
        <v>82</v>
      </c>
      <c r="M18" s="2" t="s">
        <v>20</v>
      </c>
      <c r="N18" s="2" t="s">
        <v>19</v>
      </c>
      <c r="O18" s="2">
        <v>461</v>
      </c>
      <c r="P18" s="2">
        <v>92.2</v>
      </c>
      <c r="Q18" s="2">
        <v>16</v>
      </c>
      <c r="R18" s="2" t="s">
        <v>20</v>
      </c>
      <c r="S18" s="2"/>
    </row>
    <row r="19" spans="1:19" x14ac:dyDescent="0.25">
      <c r="A19" s="1"/>
      <c r="B19" s="2"/>
      <c r="C19" s="2"/>
      <c r="D19" s="2"/>
      <c r="E19" s="2"/>
      <c r="F19" s="2"/>
      <c r="G19" s="2" t="s">
        <v>17</v>
      </c>
      <c r="H19" s="2">
        <v>82</v>
      </c>
      <c r="I19" s="2">
        <v>91.5</v>
      </c>
      <c r="J19" s="2">
        <v>87</v>
      </c>
      <c r="K19" s="2">
        <v>84.5</v>
      </c>
      <c r="L19" s="2">
        <v>90</v>
      </c>
      <c r="M19" s="2"/>
      <c r="N19" s="2" t="s">
        <v>20</v>
      </c>
      <c r="O19" s="2">
        <v>435</v>
      </c>
      <c r="P19" s="2">
        <v>87</v>
      </c>
      <c r="Q19" s="2">
        <v>17</v>
      </c>
      <c r="R19" s="2" t="s">
        <v>20</v>
      </c>
      <c r="S19" s="2"/>
    </row>
    <row r="20" spans="1:19" x14ac:dyDescent="0.25">
      <c r="A20" s="1">
        <v>10</v>
      </c>
      <c r="B20" s="2" t="s">
        <v>30</v>
      </c>
      <c r="C20" s="2"/>
      <c r="D20" s="2"/>
      <c r="E20" s="2" t="s">
        <v>398</v>
      </c>
      <c r="F20" s="2"/>
      <c r="G20" s="2" t="s">
        <v>16</v>
      </c>
      <c r="H20" s="2">
        <v>100</v>
      </c>
      <c r="I20" s="2">
        <v>100</v>
      </c>
      <c r="J20" s="2">
        <v>100</v>
      </c>
      <c r="K20" s="2">
        <v>100</v>
      </c>
      <c r="L20" s="2">
        <v>100</v>
      </c>
      <c r="M20" s="2" t="s">
        <v>20</v>
      </c>
      <c r="N20" s="2" t="s">
        <v>20</v>
      </c>
      <c r="O20" s="2">
        <v>500</v>
      </c>
      <c r="P20" s="2">
        <v>100</v>
      </c>
      <c r="Q20" s="2">
        <v>1</v>
      </c>
      <c r="R20" s="2" t="s">
        <v>20</v>
      </c>
      <c r="S20" s="2"/>
    </row>
    <row r="21" spans="1:19" x14ac:dyDescent="0.25">
      <c r="A21" s="1"/>
      <c r="B21" s="2"/>
      <c r="C21" s="2"/>
      <c r="D21" s="2"/>
      <c r="E21" s="2"/>
      <c r="F21" s="2"/>
      <c r="G21" s="2" t="s">
        <v>17</v>
      </c>
      <c r="H21" s="2">
        <v>100</v>
      </c>
      <c r="I21" s="2">
        <v>98</v>
      </c>
      <c r="J21" s="2">
        <v>99</v>
      </c>
      <c r="K21" s="2">
        <v>100</v>
      </c>
      <c r="L21" s="2">
        <v>100</v>
      </c>
      <c r="M21" s="2"/>
      <c r="N21" s="2" t="s">
        <v>20</v>
      </c>
      <c r="O21" s="2">
        <v>497</v>
      </c>
      <c r="P21" s="2">
        <v>99.4</v>
      </c>
      <c r="Q21" s="2">
        <v>1</v>
      </c>
      <c r="R21" s="2" t="s">
        <v>20</v>
      </c>
      <c r="S21" s="2"/>
    </row>
    <row r="22" spans="1:19" x14ac:dyDescent="0.25">
      <c r="A22" s="1">
        <v>11</v>
      </c>
      <c r="B22" s="2" t="s">
        <v>31</v>
      </c>
      <c r="C22" s="2"/>
      <c r="D22" s="2" t="s">
        <v>43</v>
      </c>
      <c r="E22" s="12" t="s">
        <v>690</v>
      </c>
      <c r="F22" s="2"/>
      <c r="G22" s="2" t="s">
        <v>16</v>
      </c>
      <c r="H22" s="2">
        <v>98</v>
      </c>
      <c r="I22" s="2">
        <v>100</v>
      </c>
      <c r="J22" s="2">
        <v>100</v>
      </c>
      <c r="K22" s="2">
        <v>100</v>
      </c>
      <c r="L22" s="2">
        <v>99</v>
      </c>
      <c r="M22" s="2" t="s">
        <v>20</v>
      </c>
      <c r="N22" s="2" t="s">
        <v>20</v>
      </c>
      <c r="O22" s="2">
        <v>497</v>
      </c>
      <c r="P22" s="2">
        <v>99.4</v>
      </c>
      <c r="Q22" s="2">
        <v>5</v>
      </c>
      <c r="R22" s="2" t="s">
        <v>20</v>
      </c>
      <c r="S22" s="2"/>
    </row>
    <row r="23" spans="1:19" x14ac:dyDescent="0.25">
      <c r="A23" s="1"/>
      <c r="B23" s="2"/>
      <c r="C23" s="2"/>
      <c r="D23" s="2"/>
      <c r="E23" s="2"/>
      <c r="F23" s="2"/>
      <c r="G23" s="2" t="s">
        <v>17</v>
      </c>
      <c r="H23" s="2">
        <v>99</v>
      </c>
      <c r="I23" s="2">
        <v>100</v>
      </c>
      <c r="J23" s="2">
        <v>99</v>
      </c>
      <c r="K23" s="2">
        <v>100</v>
      </c>
      <c r="L23" s="2">
        <v>98</v>
      </c>
      <c r="M23" s="2"/>
      <c r="N23" s="2" t="s">
        <v>20</v>
      </c>
      <c r="O23" s="2">
        <v>496</v>
      </c>
      <c r="P23" s="2">
        <v>99.2</v>
      </c>
      <c r="Q23" s="2">
        <v>3</v>
      </c>
      <c r="R23" s="2" t="s">
        <v>20</v>
      </c>
      <c r="S23" s="2"/>
    </row>
    <row r="24" spans="1:19" x14ac:dyDescent="0.25">
      <c r="A24" s="1">
        <v>12</v>
      </c>
      <c r="B24" s="2" t="s">
        <v>32</v>
      </c>
      <c r="C24" s="2"/>
      <c r="D24" s="2"/>
      <c r="E24" s="2" t="s">
        <v>399</v>
      </c>
      <c r="F24" s="2"/>
      <c r="G24" s="2" t="s">
        <v>16</v>
      </c>
      <c r="H24" s="2">
        <v>98</v>
      </c>
      <c r="I24" s="2">
        <v>100</v>
      </c>
      <c r="J24" s="2">
        <v>100</v>
      </c>
      <c r="K24" s="2">
        <v>100</v>
      </c>
      <c r="L24" s="2">
        <v>86</v>
      </c>
      <c r="M24" s="2" t="s">
        <v>19</v>
      </c>
      <c r="N24" s="2" t="s">
        <v>20</v>
      </c>
      <c r="O24" s="2">
        <v>484</v>
      </c>
      <c r="P24" s="2">
        <v>96.8</v>
      </c>
      <c r="Q24" s="2">
        <v>8</v>
      </c>
      <c r="R24" s="2" t="s">
        <v>20</v>
      </c>
      <c r="S24" s="2"/>
    </row>
    <row r="25" spans="1:19" x14ac:dyDescent="0.25">
      <c r="A25" s="1"/>
      <c r="B25" s="2"/>
      <c r="C25" s="2"/>
      <c r="D25" s="2"/>
      <c r="E25" s="2"/>
      <c r="F25" s="2"/>
      <c r="G25" s="2" t="s">
        <v>17</v>
      </c>
      <c r="H25" s="2">
        <v>93</v>
      </c>
      <c r="I25" s="2">
        <v>84</v>
      </c>
      <c r="J25" s="2">
        <v>95</v>
      </c>
      <c r="K25" s="2">
        <v>92</v>
      </c>
      <c r="L25" s="2">
        <v>85</v>
      </c>
      <c r="M25" s="2"/>
      <c r="N25" s="2" t="s">
        <v>20</v>
      </c>
      <c r="O25" s="2">
        <v>449</v>
      </c>
      <c r="P25" s="2">
        <v>89.8</v>
      </c>
      <c r="Q25" s="2">
        <v>12</v>
      </c>
      <c r="R25" s="2" t="s">
        <v>20</v>
      </c>
      <c r="S25" s="2"/>
    </row>
    <row r="26" spans="1:19" x14ac:dyDescent="0.25">
      <c r="A26" s="1">
        <v>13</v>
      </c>
      <c r="B26" s="2" t="s">
        <v>33</v>
      </c>
      <c r="C26" s="2"/>
      <c r="D26" s="2"/>
      <c r="E26" s="2" t="s">
        <v>400</v>
      </c>
      <c r="F26" s="2"/>
      <c r="G26" s="2" t="s">
        <v>16</v>
      </c>
      <c r="H26" s="2">
        <v>88</v>
      </c>
      <c r="I26" s="2">
        <v>86</v>
      </c>
      <c r="J26" s="2">
        <v>96</v>
      </c>
      <c r="K26" s="2">
        <v>77.5</v>
      </c>
      <c r="L26" s="2">
        <v>76</v>
      </c>
      <c r="M26" s="2" t="s">
        <v>19</v>
      </c>
      <c r="N26" s="2" t="s">
        <v>19</v>
      </c>
      <c r="O26" s="2">
        <v>423.5</v>
      </c>
      <c r="P26" s="2">
        <v>84.7</v>
      </c>
      <c r="Q26" s="2">
        <v>21</v>
      </c>
      <c r="R26" s="2" t="s">
        <v>20</v>
      </c>
      <c r="S26" s="2"/>
    </row>
    <row r="27" spans="1:19" x14ac:dyDescent="0.25">
      <c r="A27" s="1"/>
      <c r="B27" s="2"/>
      <c r="C27" s="2"/>
      <c r="D27" s="2"/>
      <c r="E27" s="2"/>
      <c r="F27" s="2"/>
      <c r="G27" s="2" t="s">
        <v>17</v>
      </c>
      <c r="H27" s="2">
        <v>64</v>
      </c>
      <c r="I27" s="2">
        <v>70</v>
      </c>
      <c r="J27" s="2">
        <v>80</v>
      </c>
      <c r="K27" s="2">
        <v>72</v>
      </c>
      <c r="L27" s="2">
        <v>77</v>
      </c>
      <c r="M27" s="2"/>
      <c r="N27" s="2" t="s">
        <v>19</v>
      </c>
      <c r="O27" s="2">
        <v>363</v>
      </c>
      <c r="P27" s="2">
        <v>72.599999999999994</v>
      </c>
      <c r="Q27" s="2">
        <v>21</v>
      </c>
      <c r="R27" s="2" t="s">
        <v>20</v>
      </c>
      <c r="S27" s="2"/>
    </row>
    <row r="28" spans="1:19" x14ac:dyDescent="0.25">
      <c r="A28" s="3">
        <v>14</v>
      </c>
      <c r="B28" s="4" t="s">
        <v>34</v>
      </c>
      <c r="C28" s="4"/>
      <c r="D28" s="4" t="s">
        <v>43</v>
      </c>
      <c r="E28" s="45" t="s">
        <v>691</v>
      </c>
      <c r="F28" s="4"/>
      <c r="G28" s="2" t="s">
        <v>16</v>
      </c>
      <c r="H28" s="4">
        <v>100</v>
      </c>
      <c r="I28" s="4">
        <v>98</v>
      </c>
      <c r="J28" s="4">
        <v>100</v>
      </c>
      <c r="K28" s="4">
        <v>99</v>
      </c>
      <c r="L28" s="4">
        <v>96</v>
      </c>
      <c r="M28" s="4" t="s">
        <v>19</v>
      </c>
      <c r="N28" s="4" t="s">
        <v>23</v>
      </c>
      <c r="O28" s="4">
        <v>493</v>
      </c>
      <c r="P28" s="4">
        <v>98.6</v>
      </c>
      <c r="Q28" s="4">
        <v>6</v>
      </c>
      <c r="R28" s="4" t="s">
        <v>20</v>
      </c>
      <c r="S28" s="4"/>
    </row>
    <row r="29" spans="1:19" x14ac:dyDescent="0.25">
      <c r="A29" s="1"/>
      <c r="B29" s="2"/>
      <c r="C29" s="2"/>
      <c r="D29" s="2"/>
      <c r="E29" s="2"/>
      <c r="F29" s="2"/>
      <c r="G29" s="2" t="s">
        <v>17</v>
      </c>
      <c r="H29" s="2">
        <v>83</v>
      </c>
      <c r="I29" s="2">
        <v>86</v>
      </c>
      <c r="J29" s="2">
        <v>91</v>
      </c>
      <c r="K29" s="2">
        <v>90.5</v>
      </c>
      <c r="L29" s="2">
        <v>85</v>
      </c>
      <c r="M29" s="2"/>
      <c r="N29" s="2" t="s">
        <v>20</v>
      </c>
      <c r="O29" s="2">
        <v>435.5</v>
      </c>
      <c r="P29" s="2">
        <v>87.1</v>
      </c>
      <c r="Q29" s="2">
        <v>16</v>
      </c>
      <c r="R29" s="2" t="s">
        <v>20</v>
      </c>
      <c r="S29" s="2"/>
    </row>
    <row r="30" spans="1:19" x14ac:dyDescent="0.25">
      <c r="A30" s="1">
        <v>15</v>
      </c>
      <c r="B30" s="2" t="s">
        <v>35</v>
      </c>
      <c r="C30" s="2"/>
      <c r="D30" s="2" t="s">
        <v>43</v>
      </c>
      <c r="E30" s="12" t="s">
        <v>692</v>
      </c>
      <c r="F30" s="2"/>
      <c r="G30" s="2" t="s">
        <v>16</v>
      </c>
      <c r="H30" s="2">
        <v>100</v>
      </c>
      <c r="I30" s="2">
        <v>97</v>
      </c>
      <c r="J30" s="2">
        <v>98</v>
      </c>
      <c r="K30" s="2">
        <v>94.5</v>
      </c>
      <c r="L30" s="2">
        <v>91</v>
      </c>
      <c r="M30" s="2" t="s">
        <v>19</v>
      </c>
      <c r="N30" s="2" t="s">
        <v>19</v>
      </c>
      <c r="O30" s="2">
        <v>480.5</v>
      </c>
      <c r="P30" s="2">
        <v>96.1</v>
      </c>
      <c r="Q30" s="2">
        <v>10</v>
      </c>
      <c r="R30" s="2" t="s">
        <v>20</v>
      </c>
      <c r="S30" s="2"/>
    </row>
    <row r="31" spans="1:19" x14ac:dyDescent="0.25">
      <c r="A31" s="1"/>
      <c r="B31" s="2"/>
      <c r="C31" s="2"/>
      <c r="D31" s="2"/>
      <c r="E31" s="2"/>
      <c r="F31" s="2"/>
      <c r="G31" s="2" t="s">
        <v>17</v>
      </c>
      <c r="H31" s="2">
        <v>100</v>
      </c>
      <c r="I31" s="2">
        <v>90.5</v>
      </c>
      <c r="J31" s="2">
        <v>92</v>
      </c>
      <c r="K31" s="2">
        <v>91.5</v>
      </c>
      <c r="L31" s="2">
        <v>92</v>
      </c>
      <c r="M31" s="2"/>
      <c r="N31" s="2" t="s">
        <v>20</v>
      </c>
      <c r="O31" s="2">
        <v>466</v>
      </c>
      <c r="P31" s="2">
        <v>93.2</v>
      </c>
      <c r="Q31" s="2">
        <v>9</v>
      </c>
      <c r="R31" s="2" t="s">
        <v>20</v>
      </c>
      <c r="S31" s="2"/>
    </row>
    <row r="32" spans="1:19" x14ac:dyDescent="0.25">
      <c r="A32" s="1">
        <v>16</v>
      </c>
      <c r="B32" s="2" t="s">
        <v>36</v>
      </c>
      <c r="C32" s="2"/>
      <c r="D32" s="2"/>
      <c r="E32" s="2" t="s">
        <v>401</v>
      </c>
      <c r="F32" s="2"/>
      <c r="G32" s="2" t="s">
        <v>16</v>
      </c>
      <c r="H32" s="2">
        <v>100</v>
      </c>
      <c r="I32" s="2">
        <v>100</v>
      </c>
      <c r="J32" s="2">
        <v>100</v>
      </c>
      <c r="K32" s="2">
        <v>100</v>
      </c>
      <c r="L32" s="2">
        <v>99</v>
      </c>
      <c r="M32" s="2" t="s">
        <v>23</v>
      </c>
      <c r="N32" s="2" t="s">
        <v>19</v>
      </c>
      <c r="O32" s="2">
        <v>499</v>
      </c>
      <c r="P32" s="2">
        <v>99.8</v>
      </c>
      <c r="Q32" s="2">
        <v>2</v>
      </c>
      <c r="R32" s="2" t="s">
        <v>23</v>
      </c>
      <c r="S32" s="2"/>
    </row>
    <row r="33" spans="1:19" x14ac:dyDescent="0.25">
      <c r="A33" s="1"/>
      <c r="B33" s="2"/>
      <c r="C33" s="2"/>
      <c r="D33" s="2"/>
      <c r="E33" s="2"/>
      <c r="F33" s="2"/>
      <c r="G33" s="2" t="s">
        <v>17</v>
      </c>
      <c r="H33" s="2">
        <v>100</v>
      </c>
      <c r="I33" s="2">
        <v>100</v>
      </c>
      <c r="J33" s="2">
        <v>98</v>
      </c>
      <c r="K33" s="2">
        <v>100</v>
      </c>
      <c r="L33" s="2">
        <v>99</v>
      </c>
      <c r="M33" s="2"/>
      <c r="N33" s="2" t="s">
        <v>20</v>
      </c>
      <c r="O33" s="2">
        <v>497</v>
      </c>
      <c r="P33" s="2">
        <v>99.4</v>
      </c>
      <c r="Q33" s="2">
        <v>1</v>
      </c>
      <c r="R33" s="2" t="s">
        <v>23</v>
      </c>
      <c r="S33" s="2"/>
    </row>
    <row r="34" spans="1:19" x14ac:dyDescent="0.25">
      <c r="A34" s="1">
        <v>17</v>
      </c>
      <c r="B34" s="9" t="s">
        <v>37</v>
      </c>
      <c r="C34" s="2"/>
      <c r="D34" s="2"/>
      <c r="E34" s="2" t="s">
        <v>402</v>
      </c>
      <c r="F34" s="2"/>
      <c r="G34" s="2" t="s">
        <v>16</v>
      </c>
      <c r="H34" s="2">
        <v>100</v>
      </c>
      <c r="I34" s="2">
        <v>100</v>
      </c>
      <c r="J34" s="2">
        <v>100</v>
      </c>
      <c r="K34" s="2">
        <v>94</v>
      </c>
      <c r="L34" s="2">
        <v>89</v>
      </c>
      <c r="M34" s="2" t="s">
        <v>20</v>
      </c>
      <c r="N34" s="2" t="s">
        <v>21</v>
      </c>
      <c r="O34" s="2">
        <v>483</v>
      </c>
      <c r="P34" s="2">
        <v>96.6</v>
      </c>
      <c r="Q34" s="2">
        <v>9</v>
      </c>
      <c r="R34" s="2" t="s">
        <v>20</v>
      </c>
      <c r="S34" s="2"/>
    </row>
    <row r="35" spans="1:19" x14ac:dyDescent="0.25">
      <c r="A35" s="1"/>
      <c r="B35" s="2"/>
      <c r="C35" s="2"/>
      <c r="D35" s="2"/>
      <c r="E35" s="2"/>
      <c r="F35" s="2"/>
      <c r="G35" s="2" t="s">
        <v>17</v>
      </c>
      <c r="H35" s="2">
        <v>99</v>
      </c>
      <c r="I35" s="2">
        <v>85</v>
      </c>
      <c r="J35" s="2">
        <v>96.5</v>
      </c>
      <c r="K35" s="2">
        <v>93</v>
      </c>
      <c r="L35" s="2">
        <v>94</v>
      </c>
      <c r="M35" s="2"/>
      <c r="N35" s="2" t="s">
        <v>20</v>
      </c>
      <c r="O35" s="2">
        <v>467.5</v>
      </c>
      <c r="P35" s="2">
        <v>93.5</v>
      </c>
      <c r="Q35" s="2">
        <v>8</v>
      </c>
      <c r="R35" s="2" t="s">
        <v>20</v>
      </c>
      <c r="S35" s="2"/>
    </row>
    <row r="36" spans="1:19" x14ac:dyDescent="0.25">
      <c r="A36" s="1">
        <v>18</v>
      </c>
      <c r="B36" s="2" t="s">
        <v>38</v>
      </c>
      <c r="C36" s="2"/>
      <c r="D36" s="2"/>
      <c r="E36" s="2" t="s">
        <v>403</v>
      </c>
      <c r="F36" s="2"/>
      <c r="G36" s="2" t="s">
        <v>16</v>
      </c>
      <c r="H36" s="2">
        <v>99</v>
      </c>
      <c r="I36" s="2">
        <v>96</v>
      </c>
      <c r="J36" s="2">
        <v>100</v>
      </c>
      <c r="K36" s="2">
        <v>86</v>
      </c>
      <c r="L36" s="2">
        <v>89</v>
      </c>
      <c r="M36" s="2" t="s">
        <v>19</v>
      </c>
      <c r="N36" s="2" t="s">
        <v>19</v>
      </c>
      <c r="O36" s="2">
        <v>470</v>
      </c>
      <c r="P36" s="2">
        <v>94</v>
      </c>
      <c r="Q36" s="2">
        <v>13</v>
      </c>
      <c r="R36" s="2" t="s">
        <v>23</v>
      </c>
      <c r="S36" s="2"/>
    </row>
    <row r="37" spans="1:19" x14ac:dyDescent="0.25">
      <c r="A37" s="1"/>
      <c r="B37" s="2"/>
      <c r="C37" s="2"/>
      <c r="D37" s="2"/>
      <c r="E37" s="2"/>
      <c r="F37" s="2"/>
      <c r="G37" s="2" t="s">
        <v>17</v>
      </c>
      <c r="H37" s="2">
        <v>93</v>
      </c>
      <c r="I37" s="2">
        <v>94</v>
      </c>
      <c r="J37" s="2">
        <v>98</v>
      </c>
      <c r="K37" s="2">
        <v>94</v>
      </c>
      <c r="L37" s="2">
        <v>95</v>
      </c>
      <c r="M37" s="2"/>
      <c r="N37" s="2" t="s">
        <v>20</v>
      </c>
      <c r="O37" s="2">
        <v>474</v>
      </c>
      <c r="P37" s="2">
        <v>94.8</v>
      </c>
      <c r="Q37" s="2">
        <v>7</v>
      </c>
      <c r="R37" s="2" t="s">
        <v>20</v>
      </c>
      <c r="S37" s="2"/>
    </row>
    <row r="38" spans="1:19" x14ac:dyDescent="0.25">
      <c r="A38" s="1">
        <v>19</v>
      </c>
      <c r="B38" s="2" t="s">
        <v>39</v>
      </c>
      <c r="C38" s="2"/>
      <c r="D38" s="2"/>
      <c r="E38" s="2" t="s">
        <v>404</v>
      </c>
      <c r="F38" s="2"/>
      <c r="G38" s="2" t="s">
        <v>16</v>
      </c>
      <c r="H38" s="2">
        <v>91</v>
      </c>
      <c r="I38" s="2">
        <v>95</v>
      </c>
      <c r="J38" s="2">
        <v>90</v>
      </c>
      <c r="K38" s="2">
        <v>94.5</v>
      </c>
      <c r="L38" s="2">
        <v>87.5</v>
      </c>
      <c r="M38" s="2" t="s">
        <v>19</v>
      </c>
      <c r="N38" s="2" t="s">
        <v>19</v>
      </c>
      <c r="O38" s="2">
        <v>458</v>
      </c>
      <c r="P38" s="2">
        <v>91.6</v>
      </c>
      <c r="Q38" s="2">
        <v>18</v>
      </c>
      <c r="R38" s="2" t="s">
        <v>20</v>
      </c>
      <c r="S38" s="2"/>
    </row>
    <row r="39" spans="1:19" x14ac:dyDescent="0.25">
      <c r="A39" s="1"/>
      <c r="B39" s="2"/>
      <c r="C39" s="2"/>
      <c r="D39" s="2"/>
      <c r="E39" s="2"/>
      <c r="F39" s="2"/>
      <c r="G39" s="2" t="s">
        <v>17</v>
      </c>
      <c r="H39" s="2">
        <v>83</v>
      </c>
      <c r="I39" s="2">
        <v>80</v>
      </c>
      <c r="J39" s="2">
        <v>91</v>
      </c>
      <c r="K39" s="2">
        <v>90.5</v>
      </c>
      <c r="L39" s="2">
        <v>84</v>
      </c>
      <c r="M39" s="2"/>
      <c r="N39" s="2" t="s">
        <v>20</v>
      </c>
      <c r="O39" s="2">
        <v>428.5</v>
      </c>
      <c r="P39" s="2">
        <v>85.7</v>
      </c>
      <c r="Q39" s="2">
        <v>20</v>
      </c>
      <c r="R39" s="2" t="s">
        <v>20</v>
      </c>
      <c r="S39" s="2"/>
    </row>
    <row r="40" spans="1:19" x14ac:dyDescent="0.25">
      <c r="A40" s="1">
        <v>20</v>
      </c>
      <c r="B40" s="2" t="s">
        <v>40</v>
      </c>
      <c r="C40" s="2"/>
      <c r="D40" s="2" t="s">
        <v>43</v>
      </c>
      <c r="E40" s="12" t="s">
        <v>693</v>
      </c>
      <c r="F40" s="2"/>
      <c r="G40" s="2" t="s">
        <v>16</v>
      </c>
      <c r="H40" s="2">
        <v>100</v>
      </c>
      <c r="I40" s="2">
        <v>100</v>
      </c>
      <c r="J40" s="2">
        <v>98</v>
      </c>
      <c r="K40" s="2">
        <v>94</v>
      </c>
      <c r="L40" s="2">
        <v>88</v>
      </c>
      <c r="M40" s="2" t="s">
        <v>19</v>
      </c>
      <c r="N40" s="2" t="s">
        <v>20</v>
      </c>
      <c r="O40" s="2">
        <v>480</v>
      </c>
      <c r="P40" s="2">
        <v>96</v>
      </c>
      <c r="Q40" s="2">
        <v>11</v>
      </c>
      <c r="R40" s="2" t="s">
        <v>23</v>
      </c>
      <c r="S40" s="2"/>
    </row>
    <row r="41" spans="1:19" x14ac:dyDescent="0.25">
      <c r="A41" s="1"/>
      <c r="B41" s="2"/>
      <c r="C41" s="2"/>
      <c r="D41" s="2"/>
      <c r="E41" s="2"/>
      <c r="F41" s="2"/>
      <c r="G41" s="2" t="s">
        <v>17</v>
      </c>
      <c r="H41" s="2">
        <v>98</v>
      </c>
      <c r="I41" s="2">
        <v>81</v>
      </c>
      <c r="J41" s="2">
        <v>87.5</v>
      </c>
      <c r="K41" s="2">
        <v>78.5</v>
      </c>
      <c r="L41" s="2">
        <v>92</v>
      </c>
      <c r="M41" s="2"/>
      <c r="N41" s="2" t="s">
        <v>20</v>
      </c>
      <c r="O41" s="2">
        <v>437</v>
      </c>
      <c r="P41" s="2">
        <v>87.4</v>
      </c>
      <c r="Q41" s="2">
        <v>15</v>
      </c>
      <c r="R41" s="2" t="s">
        <v>20</v>
      </c>
      <c r="S41" s="2"/>
    </row>
    <row r="42" spans="1:19" x14ac:dyDescent="0.25">
      <c r="A42" s="1">
        <v>21</v>
      </c>
      <c r="B42" s="2" t="s">
        <v>41</v>
      </c>
      <c r="C42" s="2"/>
      <c r="D42" s="2"/>
      <c r="E42" s="2" t="s">
        <v>405</v>
      </c>
      <c r="F42" s="2"/>
      <c r="G42" s="2" t="s">
        <v>16</v>
      </c>
      <c r="H42" s="2">
        <v>100</v>
      </c>
      <c r="I42" s="2">
        <v>94</v>
      </c>
      <c r="J42" s="2">
        <v>100</v>
      </c>
      <c r="K42" s="2">
        <v>91</v>
      </c>
      <c r="L42" s="2">
        <v>92</v>
      </c>
      <c r="M42" s="2" t="s">
        <v>20</v>
      </c>
      <c r="N42" s="2" t="s">
        <v>20</v>
      </c>
      <c r="O42" s="2">
        <v>477</v>
      </c>
      <c r="P42" s="2">
        <v>95.4</v>
      </c>
      <c r="Q42" s="2">
        <v>12</v>
      </c>
      <c r="R42" s="2" t="s">
        <v>20</v>
      </c>
      <c r="S42" s="2"/>
    </row>
    <row r="43" spans="1:19" x14ac:dyDescent="0.25">
      <c r="A43" s="1"/>
      <c r="B43" s="2"/>
      <c r="C43" s="2"/>
      <c r="D43" s="2"/>
      <c r="E43" s="2"/>
      <c r="F43" s="2"/>
      <c r="G43" s="2" t="s">
        <v>17</v>
      </c>
      <c r="H43" s="2">
        <v>99</v>
      </c>
      <c r="I43" s="2">
        <v>98.5</v>
      </c>
      <c r="J43" s="2">
        <v>97</v>
      </c>
      <c r="K43" s="2">
        <v>100</v>
      </c>
      <c r="L43" s="2">
        <v>89</v>
      </c>
      <c r="M43" s="2"/>
      <c r="N43" s="2" t="s">
        <v>20</v>
      </c>
      <c r="O43" s="2">
        <v>483.5</v>
      </c>
      <c r="P43" s="2">
        <v>96.7</v>
      </c>
      <c r="Q43" s="2">
        <v>6</v>
      </c>
      <c r="R43" s="2" t="s">
        <v>20</v>
      </c>
      <c r="S43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S43"/>
  <sheetViews>
    <sheetView topLeftCell="C1" zoomScale="85" zoomScaleNormal="85" zoomScalePageLayoutView="85" workbookViewId="0">
      <selection activeCell="D1" sqref="D1"/>
    </sheetView>
  </sheetViews>
  <sheetFormatPr defaultColWidth="11.125" defaultRowHeight="15.75" x14ac:dyDescent="0.25"/>
  <cols>
    <col min="1" max="1" width="7.5" customWidth="1"/>
    <col min="2" max="2" width="25.625" customWidth="1"/>
    <col min="3" max="3" width="4" bestFit="1" customWidth="1"/>
    <col min="4" max="4" width="8.5" customWidth="1"/>
    <col min="5" max="5" width="10.625" bestFit="1" customWidth="1"/>
    <col min="6" max="6" width="8.5" customWidth="1"/>
  </cols>
  <sheetData>
    <row r="1" spans="1:19" ht="132.75" x14ac:dyDescent="0.25">
      <c r="A1" s="52" t="s">
        <v>0</v>
      </c>
      <c r="B1" s="52" t="s">
        <v>382</v>
      </c>
      <c r="C1" s="52" t="s">
        <v>3</v>
      </c>
      <c r="D1" s="52" t="s">
        <v>2</v>
      </c>
      <c r="E1" s="52" t="s">
        <v>386</v>
      </c>
      <c r="F1" s="52" t="s">
        <v>384</v>
      </c>
      <c r="G1" s="52" t="s">
        <v>1</v>
      </c>
      <c r="H1" s="52" t="s">
        <v>5</v>
      </c>
      <c r="I1" s="52" t="s">
        <v>6</v>
      </c>
      <c r="J1" s="52" t="s">
        <v>7</v>
      </c>
      <c r="K1" s="52" t="s">
        <v>736</v>
      </c>
      <c r="L1" s="52" t="s">
        <v>8</v>
      </c>
      <c r="M1" s="52" t="s">
        <v>735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</row>
    <row r="2" spans="1:19" x14ac:dyDescent="0.25">
      <c r="A2" s="1">
        <v>1</v>
      </c>
      <c r="B2" s="2" t="s">
        <v>329</v>
      </c>
      <c r="C2" s="2"/>
      <c r="D2" s="2" t="s">
        <v>42</v>
      </c>
      <c r="E2" t="s">
        <v>406</v>
      </c>
      <c r="F2" s="2"/>
      <c r="G2" s="2" t="s">
        <v>16</v>
      </c>
      <c r="H2" s="2">
        <v>99</v>
      </c>
      <c r="I2" s="2">
        <v>100</v>
      </c>
      <c r="J2" s="2">
        <v>100</v>
      </c>
      <c r="K2" s="2">
        <v>100</v>
      </c>
      <c r="L2" s="2">
        <v>99.7</v>
      </c>
      <c r="M2" s="2" t="s">
        <v>20</v>
      </c>
      <c r="N2" s="2" t="s">
        <v>23</v>
      </c>
      <c r="O2" s="2">
        <v>498.7</v>
      </c>
      <c r="P2" s="2">
        <v>99.74</v>
      </c>
      <c r="Q2" s="2">
        <v>5</v>
      </c>
      <c r="R2" s="2" t="s">
        <v>20</v>
      </c>
      <c r="S2" s="2"/>
    </row>
    <row r="3" spans="1:19" x14ac:dyDescent="0.25">
      <c r="A3" s="1"/>
      <c r="B3" s="2"/>
      <c r="C3" s="2"/>
      <c r="D3" s="2"/>
      <c r="E3" s="2"/>
      <c r="F3" s="2"/>
      <c r="G3" s="2" t="s">
        <v>17</v>
      </c>
      <c r="H3" s="2">
        <v>97</v>
      </c>
      <c r="I3" s="2">
        <v>100</v>
      </c>
      <c r="J3" s="2">
        <v>99</v>
      </c>
      <c r="K3" s="2">
        <v>100</v>
      </c>
      <c r="L3" s="2">
        <v>98.8</v>
      </c>
      <c r="M3" s="2" t="s">
        <v>20</v>
      </c>
      <c r="N3" s="2"/>
      <c r="O3" s="2">
        <v>494.8</v>
      </c>
      <c r="P3" s="2">
        <v>98.96</v>
      </c>
      <c r="Q3" s="2">
        <v>5</v>
      </c>
      <c r="R3" s="2" t="s">
        <v>20</v>
      </c>
      <c r="S3" s="2"/>
    </row>
    <row r="4" spans="1:19" x14ac:dyDescent="0.25">
      <c r="A4" s="1">
        <v>2</v>
      </c>
      <c r="B4" s="9" t="s">
        <v>330</v>
      </c>
      <c r="C4" s="9"/>
      <c r="D4" s="2" t="s">
        <v>42</v>
      </c>
      <c r="E4" s="2" t="s">
        <v>407</v>
      </c>
      <c r="F4" s="2"/>
      <c r="G4" s="2" t="s">
        <v>16</v>
      </c>
      <c r="H4" s="2">
        <v>97</v>
      </c>
      <c r="I4" s="2">
        <v>88</v>
      </c>
      <c r="J4" s="2">
        <v>98.3</v>
      </c>
      <c r="K4" s="2">
        <v>96</v>
      </c>
      <c r="L4" s="2">
        <v>94.8</v>
      </c>
      <c r="M4" s="2" t="s">
        <v>20</v>
      </c>
      <c r="N4" s="2" t="s">
        <v>20</v>
      </c>
      <c r="O4" s="2">
        <v>474.1</v>
      </c>
      <c r="P4" s="2">
        <v>94.82</v>
      </c>
      <c r="Q4" s="2">
        <v>15</v>
      </c>
      <c r="R4" s="2" t="s">
        <v>20</v>
      </c>
      <c r="S4" s="2"/>
    </row>
    <row r="5" spans="1:19" x14ac:dyDescent="0.25">
      <c r="A5" s="1"/>
      <c r="B5" s="2"/>
      <c r="C5" s="2"/>
      <c r="D5" s="2"/>
      <c r="E5" s="2"/>
      <c r="F5" s="2"/>
      <c r="G5" s="2" t="s">
        <v>17</v>
      </c>
      <c r="H5" s="2">
        <v>94</v>
      </c>
      <c r="I5" s="2">
        <v>96</v>
      </c>
      <c r="J5" s="2">
        <v>96.5</v>
      </c>
      <c r="K5" s="2">
        <v>100</v>
      </c>
      <c r="L5" s="2">
        <v>92.4</v>
      </c>
      <c r="M5" s="2" t="s">
        <v>20</v>
      </c>
      <c r="N5" s="2"/>
      <c r="O5" s="2">
        <v>478.9</v>
      </c>
      <c r="P5" s="2">
        <v>95.78</v>
      </c>
      <c r="Q5" s="2">
        <v>13</v>
      </c>
      <c r="R5" s="2" t="s">
        <v>20</v>
      </c>
      <c r="S5" s="2"/>
    </row>
    <row r="6" spans="1:19" x14ac:dyDescent="0.25">
      <c r="A6" s="1">
        <v>3</v>
      </c>
      <c r="B6" s="2" t="s">
        <v>331</v>
      </c>
      <c r="C6" s="2"/>
      <c r="D6" s="2" t="s">
        <v>42</v>
      </c>
      <c r="E6" s="12" t="s">
        <v>694</v>
      </c>
      <c r="F6" s="2"/>
      <c r="G6" s="2" t="s">
        <v>16</v>
      </c>
      <c r="H6" s="2">
        <v>97</v>
      </c>
      <c r="I6" s="2">
        <v>99</v>
      </c>
      <c r="J6" s="2">
        <v>99</v>
      </c>
      <c r="K6" s="2">
        <v>99</v>
      </c>
      <c r="L6" s="2">
        <v>95.5</v>
      </c>
      <c r="M6" s="2" t="s">
        <v>20</v>
      </c>
      <c r="N6" s="2" t="s">
        <v>20</v>
      </c>
      <c r="O6" s="2">
        <v>489.5</v>
      </c>
      <c r="P6" s="2">
        <v>97.9</v>
      </c>
      <c r="Q6" s="2">
        <v>10</v>
      </c>
      <c r="R6" s="2" t="s">
        <v>20</v>
      </c>
      <c r="S6" s="2"/>
    </row>
    <row r="7" spans="1:19" x14ac:dyDescent="0.25">
      <c r="A7" s="1"/>
      <c r="B7" s="2"/>
      <c r="C7" s="2"/>
      <c r="D7" s="2"/>
      <c r="E7" s="2"/>
      <c r="F7" s="2"/>
      <c r="G7" s="2" t="s">
        <v>17</v>
      </c>
      <c r="H7" s="2">
        <v>96</v>
      </c>
      <c r="I7" s="2">
        <v>100</v>
      </c>
      <c r="J7" s="2">
        <v>100</v>
      </c>
      <c r="K7" s="2">
        <v>100</v>
      </c>
      <c r="L7" s="2">
        <v>98.8</v>
      </c>
      <c r="M7" s="2" t="s">
        <v>20</v>
      </c>
      <c r="N7" s="2"/>
      <c r="O7" s="2">
        <v>494.8</v>
      </c>
      <c r="P7" s="2">
        <v>98.96</v>
      </c>
      <c r="Q7" s="2">
        <v>5</v>
      </c>
      <c r="R7" s="2" t="s">
        <v>20</v>
      </c>
      <c r="S7" s="2"/>
    </row>
    <row r="8" spans="1:19" x14ac:dyDescent="0.25">
      <c r="A8" s="1">
        <v>4</v>
      </c>
      <c r="B8" s="2" t="s">
        <v>332</v>
      </c>
      <c r="C8" s="2"/>
      <c r="D8" s="2" t="s">
        <v>42</v>
      </c>
      <c r="E8" s="2" t="s">
        <v>408</v>
      </c>
      <c r="F8" s="2"/>
      <c r="G8" s="2" t="s">
        <v>16</v>
      </c>
      <c r="H8" s="2">
        <v>94</v>
      </c>
      <c r="I8" s="2">
        <v>87</v>
      </c>
      <c r="J8" s="2">
        <v>95.7</v>
      </c>
      <c r="K8" s="2">
        <v>57</v>
      </c>
      <c r="L8" s="2">
        <v>81.2</v>
      </c>
      <c r="M8" s="2" t="s">
        <v>20</v>
      </c>
      <c r="N8" s="2" t="s">
        <v>20</v>
      </c>
      <c r="O8" s="2">
        <v>414.9</v>
      </c>
      <c r="P8" s="2">
        <v>83</v>
      </c>
      <c r="Q8" s="2">
        <v>20</v>
      </c>
      <c r="R8" s="2" t="s">
        <v>20</v>
      </c>
      <c r="S8" s="2"/>
    </row>
    <row r="9" spans="1:19" x14ac:dyDescent="0.25">
      <c r="A9" s="1"/>
      <c r="B9" s="2"/>
      <c r="C9" s="2"/>
      <c r="D9" s="2"/>
      <c r="E9" s="2"/>
      <c r="F9" s="2"/>
      <c r="G9" s="2" t="s">
        <v>17</v>
      </c>
      <c r="H9" s="2">
        <v>81</v>
      </c>
      <c r="I9" s="2">
        <v>77.2</v>
      </c>
      <c r="J9" s="2">
        <v>97.6</v>
      </c>
      <c r="K9" s="2">
        <v>67.8</v>
      </c>
      <c r="L9" s="2">
        <v>81.03</v>
      </c>
      <c r="M9" s="2" t="s">
        <v>20</v>
      </c>
      <c r="N9" s="2"/>
      <c r="O9" s="2">
        <v>404.63</v>
      </c>
      <c r="P9" s="2">
        <v>80.930000000000007</v>
      </c>
      <c r="Q9" s="2">
        <v>19</v>
      </c>
      <c r="R9" s="2" t="s">
        <v>20</v>
      </c>
      <c r="S9" s="2"/>
    </row>
    <row r="10" spans="1:19" x14ac:dyDescent="0.25">
      <c r="A10" s="1">
        <v>5</v>
      </c>
      <c r="B10" s="2" t="s">
        <v>333</v>
      </c>
      <c r="C10" s="2"/>
      <c r="D10" s="2" t="s">
        <v>43</v>
      </c>
      <c r="E10" s="2" t="s">
        <v>409</v>
      </c>
      <c r="F10" s="2"/>
      <c r="G10" s="2" t="s">
        <v>16</v>
      </c>
      <c r="H10" s="2">
        <v>100</v>
      </c>
      <c r="I10" s="2">
        <v>100</v>
      </c>
      <c r="J10" s="2">
        <v>100</v>
      </c>
      <c r="K10" s="2">
        <v>100</v>
      </c>
      <c r="L10" s="2">
        <v>99.1</v>
      </c>
      <c r="M10" s="2" t="s">
        <v>20</v>
      </c>
      <c r="N10" s="2" t="s">
        <v>23</v>
      </c>
      <c r="O10" s="2">
        <v>499.1</v>
      </c>
      <c r="P10" s="2">
        <v>99.82</v>
      </c>
      <c r="Q10" s="2">
        <v>3</v>
      </c>
      <c r="R10" s="2" t="s">
        <v>20</v>
      </c>
      <c r="S10" s="2"/>
    </row>
    <row r="11" spans="1:19" x14ac:dyDescent="0.25">
      <c r="A11" s="1"/>
      <c r="B11" s="2"/>
      <c r="C11" s="2"/>
      <c r="D11" s="2"/>
      <c r="E11" s="2"/>
      <c r="F11" s="2"/>
      <c r="G11" s="2" t="s">
        <v>17</v>
      </c>
      <c r="H11" s="2">
        <v>96</v>
      </c>
      <c r="I11" s="2">
        <v>100</v>
      </c>
      <c r="J11" s="2">
        <v>95</v>
      </c>
      <c r="K11" s="2">
        <v>100</v>
      </c>
      <c r="L11" s="2">
        <v>94.9</v>
      </c>
      <c r="M11" s="2" t="s">
        <v>20</v>
      </c>
      <c r="N11" s="2"/>
      <c r="O11" s="2">
        <v>485.9</v>
      </c>
      <c r="P11" s="2">
        <v>97.18</v>
      </c>
      <c r="Q11" s="2">
        <v>10</v>
      </c>
      <c r="R11" s="2" t="s">
        <v>20</v>
      </c>
      <c r="S11" s="2"/>
    </row>
    <row r="12" spans="1:19" x14ac:dyDescent="0.25">
      <c r="A12" s="1">
        <v>6</v>
      </c>
      <c r="B12" s="9" t="s">
        <v>334</v>
      </c>
      <c r="C12" s="9"/>
      <c r="D12" s="2" t="s">
        <v>42</v>
      </c>
      <c r="E12" s="2" t="s">
        <v>410</v>
      </c>
      <c r="F12" s="2"/>
      <c r="G12" s="2" t="s">
        <v>16</v>
      </c>
      <c r="H12" s="2">
        <v>100</v>
      </c>
      <c r="I12" s="2">
        <v>95</v>
      </c>
      <c r="J12" s="2">
        <v>94.8</v>
      </c>
      <c r="K12" s="2">
        <v>86</v>
      </c>
      <c r="L12" s="2">
        <v>90.3</v>
      </c>
      <c r="M12" s="2" t="s">
        <v>20</v>
      </c>
      <c r="N12" s="2" t="s">
        <v>23</v>
      </c>
      <c r="O12" s="2">
        <v>466.1</v>
      </c>
      <c r="P12" s="2">
        <v>93.22</v>
      </c>
      <c r="Q12" s="2">
        <v>17</v>
      </c>
      <c r="R12" s="2" t="s">
        <v>19</v>
      </c>
      <c r="S12" s="2"/>
    </row>
    <row r="13" spans="1:19" x14ac:dyDescent="0.25">
      <c r="A13" s="1"/>
      <c r="B13" s="2"/>
      <c r="C13" s="2"/>
      <c r="D13" s="2"/>
      <c r="E13" s="2"/>
      <c r="F13" s="2"/>
      <c r="G13" s="2" t="s">
        <v>17</v>
      </c>
      <c r="H13" s="2">
        <v>95</v>
      </c>
      <c r="I13" s="2">
        <v>89.9</v>
      </c>
      <c r="J13" s="2">
        <v>96.4</v>
      </c>
      <c r="K13" s="2">
        <v>88.7</v>
      </c>
      <c r="L13" s="2">
        <v>95.6</v>
      </c>
      <c r="M13" s="2" t="s">
        <v>20</v>
      </c>
      <c r="N13" s="2"/>
      <c r="O13" s="2">
        <v>465.6</v>
      </c>
      <c r="P13" s="2">
        <v>93.12</v>
      </c>
      <c r="Q13" s="2">
        <v>16</v>
      </c>
      <c r="R13" s="2" t="s">
        <v>19</v>
      </c>
      <c r="S13" s="2"/>
    </row>
    <row r="14" spans="1:19" x14ac:dyDescent="0.25">
      <c r="A14" s="1">
        <v>7</v>
      </c>
      <c r="B14" s="2" t="s">
        <v>335</v>
      </c>
      <c r="C14" s="2"/>
      <c r="D14" s="2" t="s">
        <v>43</v>
      </c>
      <c r="E14" s="2" t="s">
        <v>411</v>
      </c>
      <c r="F14" s="2"/>
      <c r="G14" s="2" t="s">
        <v>16</v>
      </c>
      <c r="H14" s="2">
        <v>100</v>
      </c>
      <c r="I14" s="2">
        <v>98</v>
      </c>
      <c r="J14" s="2">
        <v>99</v>
      </c>
      <c r="K14" s="2">
        <v>96</v>
      </c>
      <c r="L14" s="2">
        <v>93.6</v>
      </c>
      <c r="M14" s="2" t="s">
        <v>20</v>
      </c>
      <c r="N14" s="2" t="s">
        <v>20</v>
      </c>
      <c r="O14" s="2">
        <v>486.6</v>
      </c>
      <c r="P14" s="2">
        <v>97.32</v>
      </c>
      <c r="Q14" s="2">
        <v>11</v>
      </c>
      <c r="R14" s="2" t="s">
        <v>20</v>
      </c>
      <c r="S14" s="2"/>
    </row>
    <row r="15" spans="1:19" x14ac:dyDescent="0.25">
      <c r="A15" s="1"/>
      <c r="B15" s="2"/>
      <c r="C15" s="2"/>
      <c r="D15" s="2"/>
      <c r="E15" s="2"/>
      <c r="F15" s="2"/>
      <c r="G15" s="2" t="s">
        <v>17</v>
      </c>
      <c r="H15" s="2">
        <v>96</v>
      </c>
      <c r="I15" s="2">
        <v>91.1</v>
      </c>
      <c r="J15" s="2">
        <v>98.7</v>
      </c>
      <c r="K15" s="2">
        <v>95.6</v>
      </c>
      <c r="L15" s="2">
        <v>99.1</v>
      </c>
      <c r="M15" s="2" t="s">
        <v>20</v>
      </c>
      <c r="N15" s="2"/>
      <c r="O15" s="2">
        <v>480.5</v>
      </c>
      <c r="P15" s="2">
        <v>96.1</v>
      </c>
      <c r="Q15" s="2">
        <v>12</v>
      </c>
      <c r="R15" s="2" t="s">
        <v>20</v>
      </c>
      <c r="S15" s="2"/>
    </row>
    <row r="16" spans="1:19" x14ac:dyDescent="0.25">
      <c r="A16" s="1">
        <v>8</v>
      </c>
      <c r="B16" s="9" t="s">
        <v>336</v>
      </c>
      <c r="C16" s="9"/>
      <c r="D16" s="2" t="s">
        <v>43</v>
      </c>
      <c r="E16" s="2" t="s">
        <v>412</v>
      </c>
      <c r="F16" s="2"/>
      <c r="G16" s="2" t="s">
        <v>16</v>
      </c>
      <c r="H16" s="2">
        <v>99</v>
      </c>
      <c r="I16" s="2">
        <v>95</v>
      </c>
      <c r="J16" s="2">
        <v>98.3</v>
      </c>
      <c r="K16" s="2">
        <v>97</v>
      </c>
      <c r="L16" s="2">
        <v>94.7</v>
      </c>
      <c r="M16" s="2" t="s">
        <v>20</v>
      </c>
      <c r="N16" s="2" t="s">
        <v>23</v>
      </c>
      <c r="O16" s="2">
        <v>484</v>
      </c>
      <c r="P16" s="2">
        <v>96.8</v>
      </c>
      <c r="Q16" s="2">
        <v>13</v>
      </c>
      <c r="R16" s="2" t="s">
        <v>19</v>
      </c>
      <c r="S16" s="2"/>
    </row>
    <row r="17" spans="1:19" x14ac:dyDescent="0.25">
      <c r="A17" s="1"/>
      <c r="B17" s="2"/>
      <c r="C17" s="2"/>
      <c r="D17" s="2"/>
      <c r="E17" s="2"/>
      <c r="F17" s="2"/>
      <c r="G17" s="2" t="s">
        <v>17</v>
      </c>
      <c r="H17" s="2">
        <v>96</v>
      </c>
      <c r="I17" s="2">
        <v>98.6</v>
      </c>
      <c r="J17" s="2">
        <v>96.6</v>
      </c>
      <c r="K17" s="2">
        <v>94.2</v>
      </c>
      <c r="L17" s="2">
        <v>96.4</v>
      </c>
      <c r="M17" s="2" t="s">
        <v>20</v>
      </c>
      <c r="N17" s="2"/>
      <c r="O17" s="2">
        <v>481.8</v>
      </c>
      <c r="P17" s="2">
        <v>96.36</v>
      </c>
      <c r="Q17" s="2">
        <v>11</v>
      </c>
      <c r="R17" s="2" t="s">
        <v>19</v>
      </c>
      <c r="S17" s="2"/>
    </row>
    <row r="18" spans="1:19" x14ac:dyDescent="0.25">
      <c r="A18" s="1">
        <v>9</v>
      </c>
      <c r="B18" s="2" t="s">
        <v>337</v>
      </c>
      <c r="C18" s="2"/>
      <c r="D18" s="2" t="s">
        <v>42</v>
      </c>
      <c r="E18" s="2" t="s">
        <v>413</v>
      </c>
      <c r="F18" s="2"/>
      <c r="G18" s="2" t="s">
        <v>16</v>
      </c>
      <c r="H18" s="2">
        <v>98</v>
      </c>
      <c r="I18" s="2">
        <v>99</v>
      </c>
      <c r="J18" s="2">
        <v>100</v>
      </c>
      <c r="K18" s="2">
        <v>99</v>
      </c>
      <c r="L18" s="2">
        <v>96.8</v>
      </c>
      <c r="M18" s="2" t="s">
        <v>20</v>
      </c>
      <c r="N18" s="2" t="s">
        <v>20</v>
      </c>
      <c r="O18" s="2">
        <v>492.8</v>
      </c>
      <c r="P18" s="2">
        <v>98.56</v>
      </c>
      <c r="Q18" s="2">
        <v>8</v>
      </c>
      <c r="R18" s="2" t="s">
        <v>20</v>
      </c>
      <c r="S18" s="2"/>
    </row>
    <row r="19" spans="1:19" x14ac:dyDescent="0.25">
      <c r="A19" s="1"/>
      <c r="B19" s="2"/>
      <c r="C19" s="2"/>
      <c r="D19" s="2"/>
      <c r="E19" s="2"/>
      <c r="F19" s="2"/>
      <c r="G19" s="2" t="s">
        <v>17</v>
      </c>
      <c r="H19" s="2">
        <v>80</v>
      </c>
      <c r="I19" s="2">
        <v>84.6</v>
      </c>
      <c r="J19" s="2">
        <v>84.8</v>
      </c>
      <c r="K19" s="2">
        <v>92.8</v>
      </c>
      <c r="L19" s="2">
        <v>93.5</v>
      </c>
      <c r="M19" s="2" t="s">
        <v>20</v>
      </c>
      <c r="N19" s="2"/>
      <c r="O19" s="2">
        <v>435.7</v>
      </c>
      <c r="P19" s="2">
        <v>87.14</v>
      </c>
      <c r="Q19" s="2">
        <v>2</v>
      </c>
      <c r="R19" s="2" t="s">
        <v>20</v>
      </c>
      <c r="S19" s="2"/>
    </row>
    <row r="20" spans="1:19" x14ac:dyDescent="0.25">
      <c r="A20" s="1">
        <v>10</v>
      </c>
      <c r="B20" s="2" t="s">
        <v>338</v>
      </c>
      <c r="C20" s="2"/>
      <c r="D20" s="2" t="s">
        <v>43</v>
      </c>
      <c r="E20" s="12" t="s">
        <v>695</v>
      </c>
      <c r="F20" s="2"/>
      <c r="G20" s="2" t="s">
        <v>16</v>
      </c>
      <c r="H20" s="2">
        <v>73</v>
      </c>
      <c r="I20" s="2">
        <v>91</v>
      </c>
      <c r="J20" s="2">
        <v>98.3</v>
      </c>
      <c r="K20" s="2">
        <v>93</v>
      </c>
      <c r="L20" s="2">
        <v>89.1</v>
      </c>
      <c r="M20" s="2" t="s">
        <v>20</v>
      </c>
      <c r="N20" s="2" t="s">
        <v>20</v>
      </c>
      <c r="O20" s="2">
        <v>444.4</v>
      </c>
      <c r="P20" s="2">
        <v>88.88</v>
      </c>
      <c r="Q20" s="2">
        <v>19</v>
      </c>
      <c r="R20" s="2" t="s">
        <v>20</v>
      </c>
      <c r="S20" s="2"/>
    </row>
    <row r="21" spans="1:19" x14ac:dyDescent="0.25">
      <c r="A21" s="1"/>
      <c r="B21" s="2"/>
      <c r="C21" s="2"/>
      <c r="D21" s="2"/>
      <c r="E21" s="2"/>
      <c r="F21" s="2"/>
      <c r="G21" s="2" t="s">
        <v>17</v>
      </c>
      <c r="H21" s="2">
        <v>66</v>
      </c>
      <c r="I21" s="2">
        <v>67.599999999999994</v>
      </c>
      <c r="J21" s="2">
        <v>97</v>
      </c>
      <c r="K21" s="2">
        <v>88.8</v>
      </c>
      <c r="L21" s="2">
        <v>88.46</v>
      </c>
      <c r="M21" s="2" t="s">
        <v>20</v>
      </c>
      <c r="N21" s="2"/>
      <c r="O21" s="2">
        <v>407.86</v>
      </c>
      <c r="P21" s="2">
        <v>81.569999999999993</v>
      </c>
      <c r="Q21" s="2">
        <v>18</v>
      </c>
      <c r="R21" s="2" t="s">
        <v>20</v>
      </c>
      <c r="S21" s="2"/>
    </row>
    <row r="22" spans="1:19" x14ac:dyDescent="0.25">
      <c r="A22" s="1">
        <v>11</v>
      </c>
      <c r="B22" s="2" t="s">
        <v>339</v>
      </c>
      <c r="C22" s="2"/>
      <c r="D22" s="2" t="s">
        <v>43</v>
      </c>
      <c r="E22" s="12" t="s">
        <v>696</v>
      </c>
      <c r="F22" s="2"/>
      <c r="G22" s="2" t="s">
        <v>16</v>
      </c>
      <c r="H22" s="2">
        <v>87</v>
      </c>
      <c r="I22" s="2">
        <v>85</v>
      </c>
      <c r="J22" s="2">
        <v>98</v>
      </c>
      <c r="K22" s="2">
        <v>56</v>
      </c>
      <c r="L22" s="2">
        <v>70.3</v>
      </c>
      <c r="M22" s="2" t="s">
        <v>20</v>
      </c>
      <c r="N22" s="2" t="s">
        <v>20</v>
      </c>
      <c r="O22" s="2">
        <v>396.3</v>
      </c>
      <c r="P22" s="2">
        <v>79.260000000000005</v>
      </c>
      <c r="Q22" s="2">
        <v>21</v>
      </c>
      <c r="R22" s="2" t="s">
        <v>19</v>
      </c>
      <c r="S22" s="2"/>
    </row>
    <row r="23" spans="1:19" x14ac:dyDescent="0.25">
      <c r="A23" s="1"/>
      <c r="B23" s="2"/>
      <c r="C23" s="2"/>
      <c r="D23" s="2"/>
      <c r="E23" s="2"/>
      <c r="F23" s="2"/>
      <c r="G23" s="2" t="s">
        <v>17</v>
      </c>
      <c r="H23" s="2">
        <v>75</v>
      </c>
      <c r="I23" s="2">
        <v>68.099999999999994</v>
      </c>
      <c r="J23" s="2">
        <v>72.3</v>
      </c>
      <c r="K23" s="2">
        <v>69.5</v>
      </c>
      <c r="L23" s="2">
        <v>86.31</v>
      </c>
      <c r="M23" s="2" t="s">
        <v>20</v>
      </c>
      <c r="N23" s="2"/>
      <c r="O23" s="2">
        <v>371.21</v>
      </c>
      <c r="P23" s="2">
        <v>74.239999999999995</v>
      </c>
      <c r="Q23" s="2">
        <v>21</v>
      </c>
      <c r="R23" s="2" t="s">
        <v>20</v>
      </c>
      <c r="S23" s="2"/>
    </row>
    <row r="24" spans="1:19" x14ac:dyDescent="0.25">
      <c r="A24" s="1">
        <v>12</v>
      </c>
      <c r="B24" s="2" t="s">
        <v>340</v>
      </c>
      <c r="C24" s="2"/>
      <c r="D24" s="2" t="s">
        <v>43</v>
      </c>
      <c r="E24" s="12" t="s">
        <v>697</v>
      </c>
      <c r="F24" s="2"/>
      <c r="G24" s="2" t="s">
        <v>16</v>
      </c>
      <c r="H24" s="2">
        <v>100</v>
      </c>
      <c r="I24" s="2">
        <v>100</v>
      </c>
      <c r="J24" s="2">
        <v>100</v>
      </c>
      <c r="K24" s="2">
        <v>100</v>
      </c>
      <c r="L24" s="2">
        <v>100</v>
      </c>
      <c r="M24" s="2" t="s">
        <v>23</v>
      </c>
      <c r="N24" s="2" t="s">
        <v>20</v>
      </c>
      <c r="O24" s="2">
        <v>500</v>
      </c>
      <c r="P24" s="2">
        <v>100</v>
      </c>
      <c r="Q24" s="2">
        <v>1</v>
      </c>
      <c r="R24" s="2" t="s">
        <v>20</v>
      </c>
      <c r="S24" s="2"/>
    </row>
    <row r="25" spans="1:19" x14ac:dyDescent="0.25">
      <c r="A25" s="1"/>
      <c r="B25" s="2"/>
      <c r="C25" s="2"/>
      <c r="D25" s="2"/>
      <c r="E25" s="2"/>
      <c r="F25" s="2"/>
      <c r="G25" s="2" t="s">
        <v>17</v>
      </c>
      <c r="H25" s="2">
        <v>100</v>
      </c>
      <c r="I25" s="2">
        <v>100</v>
      </c>
      <c r="J25" s="2">
        <v>100</v>
      </c>
      <c r="K25" s="2">
        <v>100</v>
      </c>
      <c r="L25" s="2">
        <v>100</v>
      </c>
      <c r="M25" s="2" t="s">
        <v>20</v>
      </c>
      <c r="N25" s="2"/>
      <c r="O25" s="2">
        <v>500</v>
      </c>
      <c r="P25" s="2">
        <v>100</v>
      </c>
      <c r="Q25" s="2">
        <v>1</v>
      </c>
      <c r="R25" s="2" t="s">
        <v>20</v>
      </c>
      <c r="S25" s="2"/>
    </row>
    <row r="26" spans="1:19" x14ac:dyDescent="0.25">
      <c r="A26" s="1">
        <v>13</v>
      </c>
      <c r="B26" s="2" t="s">
        <v>341</v>
      </c>
      <c r="C26" s="2"/>
      <c r="D26" s="2" t="s">
        <v>43</v>
      </c>
      <c r="E26" s="2" t="s">
        <v>414</v>
      </c>
      <c r="F26" s="2"/>
      <c r="G26" s="2" t="s">
        <v>16</v>
      </c>
      <c r="H26" s="2">
        <v>100</v>
      </c>
      <c r="I26" s="2">
        <v>92</v>
      </c>
      <c r="J26" s="2">
        <v>100</v>
      </c>
      <c r="K26" s="2">
        <v>96</v>
      </c>
      <c r="L26" s="2">
        <v>96</v>
      </c>
      <c r="M26" s="2" t="s">
        <v>20</v>
      </c>
      <c r="N26" s="2" t="s">
        <v>20</v>
      </c>
      <c r="O26" s="2">
        <v>484</v>
      </c>
      <c r="P26" s="2">
        <v>96.8</v>
      </c>
      <c r="Q26" s="2">
        <v>13</v>
      </c>
      <c r="R26" s="2" t="s">
        <v>20</v>
      </c>
      <c r="S26" s="2"/>
    </row>
    <row r="27" spans="1:19" x14ac:dyDescent="0.25">
      <c r="A27" s="1"/>
      <c r="B27" s="2"/>
      <c r="C27" s="2"/>
      <c r="D27" s="2"/>
      <c r="E27" s="2"/>
      <c r="F27" s="2"/>
      <c r="G27" s="2" t="s">
        <v>17</v>
      </c>
      <c r="H27" s="2">
        <v>99</v>
      </c>
      <c r="I27" s="2">
        <v>98.5</v>
      </c>
      <c r="J27" s="2">
        <v>98</v>
      </c>
      <c r="K27" s="2">
        <v>98.1</v>
      </c>
      <c r="L27" s="2">
        <v>98.8</v>
      </c>
      <c r="M27" s="2" t="s">
        <v>20</v>
      </c>
      <c r="N27" s="2"/>
      <c r="O27" s="2">
        <v>492.4</v>
      </c>
      <c r="P27" s="2">
        <v>98.48</v>
      </c>
      <c r="Q27" s="2">
        <v>9</v>
      </c>
      <c r="R27" s="2" t="s">
        <v>20</v>
      </c>
      <c r="S27" s="2"/>
    </row>
    <row r="28" spans="1:19" x14ac:dyDescent="0.25">
      <c r="A28" s="3">
        <v>14</v>
      </c>
      <c r="B28" s="4" t="s">
        <v>342</v>
      </c>
      <c r="C28" s="4"/>
      <c r="D28" s="4" t="s">
        <v>42</v>
      </c>
      <c r="E28" s="2" t="s">
        <v>415</v>
      </c>
      <c r="F28" s="4"/>
      <c r="G28" s="2" t="s">
        <v>16</v>
      </c>
      <c r="H28" s="2">
        <v>100</v>
      </c>
      <c r="I28" s="2">
        <v>100</v>
      </c>
      <c r="J28" s="2">
        <v>99.3</v>
      </c>
      <c r="K28" s="2">
        <v>99</v>
      </c>
      <c r="L28" s="2">
        <v>98.5</v>
      </c>
      <c r="M28" s="2" t="s">
        <v>23</v>
      </c>
      <c r="N28" s="2" t="s">
        <v>23</v>
      </c>
      <c r="O28" s="2">
        <v>496.8</v>
      </c>
      <c r="P28" s="2">
        <v>99.36</v>
      </c>
      <c r="Q28" s="2">
        <v>6</v>
      </c>
      <c r="R28" s="2" t="s">
        <v>20</v>
      </c>
      <c r="S28" s="4"/>
    </row>
    <row r="29" spans="1:19" x14ac:dyDescent="0.25">
      <c r="A29" s="1"/>
      <c r="B29" s="2"/>
      <c r="C29" s="2"/>
      <c r="D29" s="2"/>
      <c r="E29" s="2"/>
      <c r="F29" s="2"/>
      <c r="G29" s="2" t="s">
        <v>17</v>
      </c>
      <c r="H29" s="2">
        <v>99</v>
      </c>
      <c r="I29" s="2">
        <v>100</v>
      </c>
      <c r="J29" s="2">
        <v>95</v>
      </c>
      <c r="K29" s="2">
        <v>100</v>
      </c>
      <c r="L29" s="2">
        <v>99.4</v>
      </c>
      <c r="M29" s="2" t="s">
        <v>20</v>
      </c>
      <c r="N29" s="2"/>
      <c r="O29" s="2">
        <v>493.4</v>
      </c>
      <c r="P29" s="2">
        <v>98.68</v>
      </c>
      <c r="Q29" s="2">
        <v>7</v>
      </c>
      <c r="R29" s="2" t="s">
        <v>20</v>
      </c>
      <c r="S29" s="2"/>
    </row>
    <row r="30" spans="1:19" x14ac:dyDescent="0.25">
      <c r="A30" s="1">
        <v>15</v>
      </c>
      <c r="B30" s="2" t="s">
        <v>343</v>
      </c>
      <c r="C30" s="2"/>
      <c r="D30" s="2" t="s">
        <v>43</v>
      </c>
      <c r="E30" s="12" t="s">
        <v>698</v>
      </c>
      <c r="F30" s="2"/>
      <c r="G30" s="2" t="s">
        <v>16</v>
      </c>
      <c r="H30" s="2">
        <v>92</v>
      </c>
      <c r="I30" s="2">
        <v>91</v>
      </c>
      <c r="J30" s="2">
        <v>95.2</v>
      </c>
      <c r="K30" s="2">
        <v>90</v>
      </c>
      <c r="L30" s="2">
        <v>81.5</v>
      </c>
      <c r="M30" s="2" t="s">
        <v>20</v>
      </c>
      <c r="N30" s="2" t="s">
        <v>20</v>
      </c>
      <c r="O30" s="2">
        <v>449.7</v>
      </c>
      <c r="P30" s="2">
        <v>89.94</v>
      </c>
      <c r="Q30" s="2">
        <v>18</v>
      </c>
      <c r="R30" s="2" t="s">
        <v>20</v>
      </c>
      <c r="S30" s="2"/>
    </row>
    <row r="31" spans="1:19" x14ac:dyDescent="0.25">
      <c r="A31" s="1"/>
      <c r="B31" s="2"/>
      <c r="C31" s="2"/>
      <c r="D31" s="2"/>
      <c r="E31" s="2"/>
      <c r="F31" s="2"/>
      <c r="G31" s="2" t="s">
        <v>17</v>
      </c>
      <c r="H31" s="2">
        <v>85</v>
      </c>
      <c r="I31" s="2">
        <v>80.8</v>
      </c>
      <c r="J31" s="2">
        <v>100</v>
      </c>
      <c r="K31" s="2">
        <v>87.1</v>
      </c>
      <c r="L31" s="2">
        <v>87.7</v>
      </c>
      <c r="M31" s="2" t="s">
        <v>20</v>
      </c>
      <c r="N31" s="2"/>
      <c r="O31" s="2">
        <v>440.6</v>
      </c>
      <c r="P31" s="2">
        <v>88.12</v>
      </c>
      <c r="Q31" s="2">
        <v>17</v>
      </c>
      <c r="R31" s="2" t="s">
        <v>20</v>
      </c>
      <c r="S31" s="2"/>
    </row>
    <row r="32" spans="1:19" x14ac:dyDescent="0.25">
      <c r="A32" s="1">
        <v>16</v>
      </c>
      <c r="B32" s="2" t="s">
        <v>344</v>
      </c>
      <c r="C32" s="2"/>
      <c r="D32" s="2" t="s">
        <v>43</v>
      </c>
      <c r="E32" s="2" t="s">
        <v>416</v>
      </c>
      <c r="F32" s="2"/>
      <c r="G32" s="2" t="s">
        <v>16</v>
      </c>
      <c r="H32" s="2">
        <v>100</v>
      </c>
      <c r="I32" s="2">
        <v>94</v>
      </c>
      <c r="J32" s="2">
        <v>94.8</v>
      </c>
      <c r="K32" s="2">
        <v>93</v>
      </c>
      <c r="L32" s="2">
        <v>88.7</v>
      </c>
      <c r="M32" s="2" t="s">
        <v>20</v>
      </c>
      <c r="N32" s="2" t="s">
        <v>20</v>
      </c>
      <c r="O32" s="2">
        <v>470.5</v>
      </c>
      <c r="P32" s="2">
        <v>94.1</v>
      </c>
      <c r="Q32" s="2">
        <v>16</v>
      </c>
      <c r="R32" s="2" t="s">
        <v>20</v>
      </c>
      <c r="S32" s="2"/>
    </row>
    <row r="33" spans="1:19" x14ac:dyDescent="0.25">
      <c r="A33" s="1"/>
      <c r="B33" s="2"/>
      <c r="C33" s="2"/>
      <c r="D33" s="2"/>
      <c r="E33" s="2"/>
      <c r="F33" s="2"/>
      <c r="G33" s="2" t="s">
        <v>17</v>
      </c>
      <c r="H33" s="2">
        <v>95</v>
      </c>
      <c r="I33" s="2">
        <v>92.5</v>
      </c>
      <c r="J33" s="2">
        <v>100</v>
      </c>
      <c r="K33" s="2">
        <v>92.1</v>
      </c>
      <c r="L33" s="2">
        <v>93.31</v>
      </c>
      <c r="M33" s="2" t="s">
        <v>20</v>
      </c>
      <c r="N33" s="2"/>
      <c r="O33" s="2">
        <v>472.91</v>
      </c>
      <c r="P33" s="2">
        <v>94.58</v>
      </c>
      <c r="Q33" s="2">
        <v>15</v>
      </c>
      <c r="R33" s="2" t="s">
        <v>20</v>
      </c>
      <c r="S33" s="2"/>
    </row>
    <row r="34" spans="1:19" x14ac:dyDescent="0.25">
      <c r="A34" s="1">
        <v>17</v>
      </c>
      <c r="B34" s="9" t="s">
        <v>345</v>
      </c>
      <c r="C34" s="9"/>
      <c r="D34" s="2" t="s">
        <v>43</v>
      </c>
      <c r="E34" s="2" t="s">
        <v>417</v>
      </c>
      <c r="F34" s="2"/>
      <c r="G34" s="2" t="s">
        <v>16</v>
      </c>
      <c r="H34" s="2">
        <v>100</v>
      </c>
      <c r="I34" s="2">
        <v>99</v>
      </c>
      <c r="J34" s="2">
        <v>98.3</v>
      </c>
      <c r="K34" s="2">
        <v>98</v>
      </c>
      <c r="L34" s="2">
        <v>97.2</v>
      </c>
      <c r="M34" s="2" t="s">
        <v>20</v>
      </c>
      <c r="N34" s="2" t="s">
        <v>20</v>
      </c>
      <c r="O34" s="2">
        <v>492</v>
      </c>
      <c r="P34" s="2">
        <v>98.5</v>
      </c>
      <c r="Q34" s="2">
        <v>9</v>
      </c>
      <c r="R34" s="2" t="s">
        <v>20</v>
      </c>
      <c r="S34" s="2"/>
    </row>
    <row r="35" spans="1:19" x14ac:dyDescent="0.25">
      <c r="A35" s="1"/>
      <c r="B35" s="2"/>
      <c r="C35" s="2"/>
      <c r="D35" s="2"/>
      <c r="E35" s="2"/>
      <c r="F35" s="2"/>
      <c r="G35" s="2" t="s">
        <v>17</v>
      </c>
      <c r="H35" s="2">
        <v>99</v>
      </c>
      <c r="I35" s="2">
        <v>100</v>
      </c>
      <c r="J35" s="2">
        <v>100</v>
      </c>
      <c r="K35" s="2">
        <v>100</v>
      </c>
      <c r="L35" s="2">
        <v>98.5</v>
      </c>
      <c r="M35" s="2" t="s">
        <v>20</v>
      </c>
      <c r="N35" s="2"/>
      <c r="O35" s="2">
        <v>497.5</v>
      </c>
      <c r="P35" s="2">
        <v>99.5</v>
      </c>
      <c r="Q35" s="2">
        <v>4</v>
      </c>
      <c r="R35" s="2" t="s">
        <v>20</v>
      </c>
      <c r="S35" s="2"/>
    </row>
    <row r="36" spans="1:19" x14ac:dyDescent="0.25">
      <c r="A36" s="1">
        <v>18</v>
      </c>
      <c r="B36" s="2" t="s">
        <v>346</v>
      </c>
      <c r="C36" s="2"/>
      <c r="D36" s="2" t="s">
        <v>43</v>
      </c>
      <c r="E36" s="2" t="s">
        <v>418</v>
      </c>
      <c r="F36" s="2"/>
      <c r="G36" s="2" t="s">
        <v>16</v>
      </c>
      <c r="H36" s="2">
        <v>100</v>
      </c>
      <c r="I36" s="2">
        <v>95</v>
      </c>
      <c r="J36" s="2">
        <v>96.9</v>
      </c>
      <c r="K36" s="2">
        <v>95</v>
      </c>
      <c r="L36" s="2">
        <v>98.6</v>
      </c>
      <c r="M36" s="2" t="s">
        <v>20</v>
      </c>
      <c r="N36" s="2" t="s">
        <v>20</v>
      </c>
      <c r="O36" s="2">
        <v>485.5</v>
      </c>
      <c r="P36" s="2">
        <v>97.1</v>
      </c>
      <c r="Q36" s="2">
        <v>12</v>
      </c>
      <c r="R36" s="2" t="s">
        <v>20</v>
      </c>
      <c r="S36" s="2"/>
    </row>
    <row r="37" spans="1:19" x14ac:dyDescent="0.25">
      <c r="A37" s="1"/>
      <c r="B37" s="2"/>
      <c r="C37" s="2"/>
      <c r="D37" s="2"/>
      <c r="E37" s="2"/>
      <c r="F37" s="2"/>
      <c r="G37" s="2" t="s">
        <v>17</v>
      </c>
      <c r="H37" s="2">
        <v>95</v>
      </c>
      <c r="I37" s="2">
        <v>88</v>
      </c>
      <c r="J37" s="2">
        <v>100</v>
      </c>
      <c r="K37" s="2">
        <v>94.8</v>
      </c>
      <c r="L37" s="2">
        <v>96.55</v>
      </c>
      <c r="M37" s="2" t="s">
        <v>20</v>
      </c>
      <c r="N37" s="2"/>
      <c r="O37" s="2">
        <v>474.35</v>
      </c>
      <c r="P37" s="2">
        <v>94.87</v>
      </c>
      <c r="Q37" s="2">
        <v>14</v>
      </c>
      <c r="R37" s="2" t="s">
        <v>20</v>
      </c>
      <c r="S37" s="2"/>
    </row>
    <row r="38" spans="1:19" x14ac:dyDescent="0.25">
      <c r="A38" s="1">
        <v>19</v>
      </c>
      <c r="B38" s="2" t="s">
        <v>347</v>
      </c>
      <c r="C38" s="2"/>
      <c r="D38" s="2" t="s">
        <v>42</v>
      </c>
      <c r="E38" s="2" t="s">
        <v>419</v>
      </c>
      <c r="F38" s="2"/>
      <c r="G38" s="2" t="s">
        <v>16</v>
      </c>
      <c r="H38" s="2">
        <v>100</v>
      </c>
      <c r="I38" s="2">
        <v>100</v>
      </c>
      <c r="J38" s="2">
        <v>100</v>
      </c>
      <c r="K38" s="2">
        <v>100</v>
      </c>
      <c r="L38" s="2">
        <v>100</v>
      </c>
      <c r="M38" s="2" t="s">
        <v>23</v>
      </c>
      <c r="N38" s="2" t="s">
        <v>23</v>
      </c>
      <c r="O38" s="2">
        <v>500</v>
      </c>
      <c r="P38" s="2">
        <v>100</v>
      </c>
      <c r="Q38" s="2">
        <v>1</v>
      </c>
      <c r="R38" s="2" t="s">
        <v>20</v>
      </c>
      <c r="S38" s="2"/>
    </row>
    <row r="39" spans="1:19" x14ac:dyDescent="0.25">
      <c r="A39" s="1"/>
      <c r="B39" s="2"/>
      <c r="C39" s="2"/>
      <c r="D39" s="2"/>
      <c r="E39" s="2"/>
      <c r="F39" s="2"/>
      <c r="G39" s="2" t="s">
        <v>17</v>
      </c>
      <c r="H39" s="2">
        <v>99</v>
      </c>
      <c r="I39" s="2">
        <v>100</v>
      </c>
      <c r="J39" s="2">
        <v>100</v>
      </c>
      <c r="K39" s="2">
        <v>100</v>
      </c>
      <c r="L39" s="2">
        <v>100</v>
      </c>
      <c r="M39" s="2" t="s">
        <v>20</v>
      </c>
      <c r="N39" s="2"/>
      <c r="O39" s="2">
        <v>499</v>
      </c>
      <c r="P39" s="2">
        <v>99.8</v>
      </c>
      <c r="Q39" s="2">
        <v>2</v>
      </c>
      <c r="R39" s="2" t="s">
        <v>20</v>
      </c>
      <c r="S39" s="2"/>
    </row>
    <row r="40" spans="1:19" x14ac:dyDescent="0.25">
      <c r="A40" s="1">
        <v>20</v>
      </c>
      <c r="B40" s="2" t="s">
        <v>348</v>
      </c>
      <c r="C40" s="2"/>
      <c r="D40" s="2" t="s">
        <v>42</v>
      </c>
      <c r="E40" s="2" t="s">
        <v>420</v>
      </c>
      <c r="F40" s="2"/>
      <c r="G40" s="2" t="s">
        <v>16</v>
      </c>
      <c r="H40" s="2">
        <v>100</v>
      </c>
      <c r="I40" s="2">
        <v>100</v>
      </c>
      <c r="J40" s="2">
        <v>99</v>
      </c>
      <c r="K40" s="2">
        <v>100</v>
      </c>
      <c r="L40" s="2">
        <v>100</v>
      </c>
      <c r="M40" s="2" t="s">
        <v>20</v>
      </c>
      <c r="N40" s="2" t="s">
        <v>20</v>
      </c>
      <c r="O40" s="2">
        <v>499</v>
      </c>
      <c r="P40" s="2">
        <v>99.8</v>
      </c>
      <c r="Q40" s="2">
        <v>4</v>
      </c>
      <c r="R40" s="2" t="s">
        <v>20</v>
      </c>
      <c r="S40" s="2"/>
    </row>
    <row r="41" spans="1:19" x14ac:dyDescent="0.25">
      <c r="A41" s="1"/>
      <c r="B41" s="2"/>
      <c r="C41" s="2"/>
      <c r="D41" s="2"/>
      <c r="E41" s="2"/>
      <c r="F41" s="2"/>
      <c r="G41" s="2" t="s">
        <v>17</v>
      </c>
      <c r="H41" s="2">
        <v>96</v>
      </c>
      <c r="I41" s="2">
        <v>100</v>
      </c>
      <c r="J41" s="2">
        <v>98.5</v>
      </c>
      <c r="K41" s="2">
        <v>99.2</v>
      </c>
      <c r="L41" s="2">
        <v>98.8</v>
      </c>
      <c r="M41" s="2" t="s">
        <v>20</v>
      </c>
      <c r="N41" s="2"/>
      <c r="O41" s="2">
        <v>492.5</v>
      </c>
      <c r="P41" s="2">
        <v>98.5</v>
      </c>
      <c r="Q41" s="2">
        <v>8</v>
      </c>
      <c r="R41" s="2" t="s">
        <v>20</v>
      </c>
      <c r="S41" s="2"/>
    </row>
    <row r="42" spans="1:19" x14ac:dyDescent="0.25">
      <c r="A42" s="1">
        <v>21</v>
      </c>
      <c r="B42" s="2" t="s">
        <v>349</v>
      </c>
      <c r="C42" s="2"/>
      <c r="D42" s="2" t="s">
        <v>42</v>
      </c>
      <c r="E42" s="2" t="s">
        <v>421</v>
      </c>
      <c r="F42" s="2"/>
      <c r="G42" s="2" t="s">
        <v>16</v>
      </c>
      <c r="H42" s="2">
        <v>99</v>
      </c>
      <c r="I42" s="2">
        <v>98</v>
      </c>
      <c r="J42" s="2">
        <v>99.7</v>
      </c>
      <c r="K42" s="2">
        <v>98</v>
      </c>
      <c r="L42" s="2">
        <v>100</v>
      </c>
      <c r="M42" s="2" t="s">
        <v>20</v>
      </c>
      <c r="N42" s="2" t="s">
        <v>20</v>
      </c>
      <c r="O42" s="2">
        <v>494.7</v>
      </c>
      <c r="P42" s="2">
        <v>98.94</v>
      </c>
      <c r="Q42" s="2">
        <v>7</v>
      </c>
      <c r="R42" s="2" t="s">
        <v>20</v>
      </c>
      <c r="S42" s="2"/>
    </row>
    <row r="43" spans="1:19" x14ac:dyDescent="0.25">
      <c r="A43" s="1"/>
      <c r="B43" s="2"/>
      <c r="C43" s="2"/>
      <c r="D43" s="2"/>
      <c r="E43" s="2"/>
      <c r="F43" s="2"/>
      <c r="G43" s="2" t="s">
        <v>17</v>
      </c>
      <c r="H43" s="2">
        <v>99</v>
      </c>
      <c r="I43" s="2">
        <v>100</v>
      </c>
      <c r="J43" s="2">
        <v>100</v>
      </c>
      <c r="K43" s="2">
        <v>100</v>
      </c>
      <c r="L43" s="2">
        <v>100</v>
      </c>
      <c r="M43" s="2" t="s">
        <v>20</v>
      </c>
      <c r="N43" s="2"/>
      <c r="O43" s="2">
        <v>499</v>
      </c>
      <c r="P43" s="2">
        <v>99.8</v>
      </c>
      <c r="Q43" s="2">
        <v>2</v>
      </c>
      <c r="R43" s="2" t="s">
        <v>20</v>
      </c>
      <c r="S43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T69"/>
  <sheetViews>
    <sheetView zoomScale="85" zoomScaleNormal="85" zoomScalePageLayoutView="85" workbookViewId="0">
      <selection activeCell="B1" sqref="B1"/>
    </sheetView>
  </sheetViews>
  <sheetFormatPr defaultColWidth="11.125" defaultRowHeight="15.75" x14ac:dyDescent="0.25"/>
  <cols>
    <col min="1" max="1" width="7.5" customWidth="1"/>
    <col min="2" max="2" width="25.625" customWidth="1"/>
    <col min="3" max="3" width="7.875" customWidth="1"/>
    <col min="4" max="4" width="8.5" customWidth="1"/>
    <col min="5" max="5" width="14.125" customWidth="1"/>
    <col min="6" max="6" width="8.5" customWidth="1"/>
  </cols>
  <sheetData>
    <row r="1" spans="1:20" ht="132.75" x14ac:dyDescent="0.25">
      <c r="A1" s="5" t="s">
        <v>0</v>
      </c>
      <c r="B1" s="6" t="s">
        <v>4</v>
      </c>
      <c r="C1" s="6" t="s">
        <v>3</v>
      </c>
      <c r="D1" s="6" t="s">
        <v>2</v>
      </c>
      <c r="E1" s="6" t="s">
        <v>383</v>
      </c>
      <c r="F1" s="6" t="s">
        <v>384</v>
      </c>
      <c r="G1" s="6" t="s">
        <v>1</v>
      </c>
      <c r="H1" s="6" t="s">
        <v>5</v>
      </c>
      <c r="I1" s="6" t="s">
        <v>6</v>
      </c>
      <c r="J1" s="6" t="s">
        <v>7</v>
      </c>
      <c r="K1" s="6" t="s">
        <v>736</v>
      </c>
      <c r="L1" s="6" t="s">
        <v>8</v>
      </c>
      <c r="M1" s="52" t="s">
        <v>735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7"/>
    </row>
    <row r="2" spans="1:20" x14ac:dyDescent="0.25">
      <c r="A2" s="1">
        <v>1</v>
      </c>
      <c r="B2" s="2" t="s">
        <v>44</v>
      </c>
      <c r="C2" s="2">
        <v>7</v>
      </c>
      <c r="D2" s="2" t="s">
        <v>43</v>
      </c>
      <c r="E2" s="39" t="s">
        <v>422</v>
      </c>
      <c r="F2" s="2"/>
      <c r="G2" s="2" t="s">
        <v>16</v>
      </c>
      <c r="H2" s="2">
        <v>87</v>
      </c>
      <c r="I2" s="2">
        <v>91</v>
      </c>
      <c r="J2" s="2">
        <v>86</v>
      </c>
      <c r="K2" s="2">
        <v>98</v>
      </c>
      <c r="L2" s="2">
        <v>91</v>
      </c>
      <c r="M2" s="2" t="s">
        <v>20</v>
      </c>
      <c r="N2" s="2" t="s">
        <v>20</v>
      </c>
      <c r="O2" s="2">
        <v>453</v>
      </c>
      <c r="P2" s="2">
        <v>90.6</v>
      </c>
      <c r="Q2" s="2"/>
      <c r="R2" s="2" t="s">
        <v>20</v>
      </c>
      <c r="S2" s="2"/>
    </row>
    <row r="3" spans="1:20" x14ac:dyDescent="0.25">
      <c r="A3" s="1"/>
      <c r="B3" s="2"/>
      <c r="C3" s="2"/>
      <c r="D3" s="2"/>
      <c r="E3" s="2"/>
      <c r="F3" s="2"/>
      <c r="G3" s="2" t="s">
        <v>17</v>
      </c>
      <c r="H3" s="2">
        <v>96</v>
      </c>
      <c r="I3" s="2">
        <v>94</v>
      </c>
      <c r="J3" s="2">
        <v>76</v>
      </c>
      <c r="K3" s="2">
        <v>90</v>
      </c>
      <c r="L3" s="2">
        <v>91</v>
      </c>
      <c r="M3" s="2" t="s">
        <v>19</v>
      </c>
      <c r="N3" s="2" t="s">
        <v>20</v>
      </c>
      <c r="O3" s="2">
        <v>447</v>
      </c>
      <c r="P3" s="2">
        <v>89.4</v>
      </c>
      <c r="Q3" s="2"/>
      <c r="R3" s="2"/>
      <c r="S3" s="2"/>
    </row>
    <row r="4" spans="1:20" x14ac:dyDescent="0.25">
      <c r="A4" s="1">
        <v>2</v>
      </c>
      <c r="B4" s="9" t="s">
        <v>45</v>
      </c>
      <c r="C4" s="2">
        <v>7</v>
      </c>
      <c r="D4" s="2" t="s">
        <v>42</v>
      </c>
      <c r="E4" s="39" t="s">
        <v>423</v>
      </c>
      <c r="F4" s="2"/>
      <c r="G4" s="2" t="s">
        <v>16</v>
      </c>
      <c r="H4" s="2">
        <v>93</v>
      </c>
      <c r="I4" s="2">
        <v>96</v>
      </c>
      <c r="J4" s="2">
        <v>90</v>
      </c>
      <c r="K4" s="2">
        <v>100</v>
      </c>
      <c r="L4" s="2">
        <v>96</v>
      </c>
      <c r="M4" s="2" t="s">
        <v>19</v>
      </c>
      <c r="N4" s="2" t="s">
        <v>20</v>
      </c>
      <c r="O4" s="2">
        <v>475</v>
      </c>
      <c r="P4" s="2">
        <v>95</v>
      </c>
      <c r="Q4" s="2">
        <v>3</v>
      </c>
      <c r="R4" s="2" t="s">
        <v>20</v>
      </c>
      <c r="S4" s="2"/>
    </row>
    <row r="5" spans="1:20" x14ac:dyDescent="0.25">
      <c r="A5" s="1"/>
      <c r="B5" s="2"/>
      <c r="C5" s="2"/>
      <c r="D5" s="2"/>
      <c r="E5" s="2"/>
      <c r="F5" s="2"/>
      <c r="G5" s="2" t="s">
        <v>17</v>
      </c>
      <c r="H5" s="2">
        <v>99</v>
      </c>
      <c r="I5" s="2">
        <v>100</v>
      </c>
      <c r="J5" s="2">
        <v>94</v>
      </c>
      <c r="K5" s="2">
        <v>100</v>
      </c>
      <c r="L5" s="2">
        <v>97</v>
      </c>
      <c r="M5" s="2" t="s">
        <v>20</v>
      </c>
      <c r="N5" s="2" t="s">
        <v>19</v>
      </c>
      <c r="O5" s="2">
        <v>490</v>
      </c>
      <c r="P5" s="2">
        <v>98</v>
      </c>
      <c r="Q5" s="2">
        <v>1</v>
      </c>
      <c r="R5" s="2"/>
      <c r="S5" s="2"/>
    </row>
    <row r="6" spans="1:20" x14ac:dyDescent="0.25">
      <c r="A6" s="1">
        <v>3</v>
      </c>
      <c r="B6" s="2" t="s">
        <v>46</v>
      </c>
      <c r="C6" s="2">
        <v>7</v>
      </c>
      <c r="D6" s="2" t="s">
        <v>43</v>
      </c>
      <c r="E6" s="39" t="s">
        <v>424</v>
      </c>
      <c r="F6" s="2"/>
      <c r="G6" s="2" t="s">
        <v>16</v>
      </c>
      <c r="H6" s="2">
        <v>81</v>
      </c>
      <c r="I6" s="2">
        <v>72</v>
      </c>
      <c r="J6" s="2">
        <v>95</v>
      </c>
      <c r="K6" s="2">
        <v>74</v>
      </c>
      <c r="L6" s="2">
        <v>81</v>
      </c>
      <c r="M6" s="2" t="s">
        <v>19</v>
      </c>
      <c r="N6" s="2" t="s">
        <v>19</v>
      </c>
      <c r="O6" s="2">
        <v>403</v>
      </c>
      <c r="P6" s="2">
        <v>80.599999999999994</v>
      </c>
      <c r="Q6" s="2"/>
      <c r="R6" s="2" t="s">
        <v>20</v>
      </c>
      <c r="S6" s="2"/>
    </row>
    <row r="7" spans="1:20" x14ac:dyDescent="0.25">
      <c r="A7" s="1"/>
      <c r="B7" s="2"/>
      <c r="C7" s="2"/>
      <c r="D7" s="2"/>
      <c r="E7" s="2"/>
      <c r="F7" s="2"/>
      <c r="G7" s="2" t="s">
        <v>17</v>
      </c>
      <c r="H7" s="2">
        <v>96</v>
      </c>
      <c r="I7" s="2">
        <v>84</v>
      </c>
      <c r="J7" s="2">
        <v>95</v>
      </c>
      <c r="K7" s="2">
        <v>94</v>
      </c>
      <c r="L7" s="2">
        <v>69</v>
      </c>
      <c r="M7" s="2" t="s">
        <v>19</v>
      </c>
      <c r="N7" s="2" t="s">
        <v>19</v>
      </c>
      <c r="O7" s="2">
        <v>438</v>
      </c>
      <c r="P7" s="2">
        <v>87.6</v>
      </c>
      <c r="Q7" s="2"/>
      <c r="R7" s="2"/>
      <c r="S7" s="2"/>
    </row>
    <row r="8" spans="1:20" x14ac:dyDescent="0.25">
      <c r="A8" s="1">
        <v>4</v>
      </c>
      <c r="B8" s="2" t="s">
        <v>47</v>
      </c>
      <c r="C8" s="2">
        <v>7</v>
      </c>
      <c r="D8" s="2" t="s">
        <v>43</v>
      </c>
      <c r="E8" s="39" t="s">
        <v>425</v>
      </c>
      <c r="F8" s="2"/>
      <c r="G8" s="2" t="s">
        <v>16</v>
      </c>
      <c r="H8" s="2">
        <v>79</v>
      </c>
      <c r="I8" s="2">
        <v>77</v>
      </c>
      <c r="J8" s="2">
        <v>81</v>
      </c>
      <c r="K8" s="2">
        <v>90</v>
      </c>
      <c r="L8" s="2">
        <v>76</v>
      </c>
      <c r="M8" s="2" t="s">
        <v>19</v>
      </c>
      <c r="N8" s="2" t="s">
        <v>19</v>
      </c>
      <c r="O8" s="2">
        <v>403</v>
      </c>
      <c r="P8" s="2">
        <v>80.599999999999994</v>
      </c>
      <c r="Q8" s="2"/>
      <c r="R8" s="2" t="s">
        <v>19</v>
      </c>
      <c r="S8" s="2"/>
    </row>
    <row r="9" spans="1:20" x14ac:dyDescent="0.25">
      <c r="A9" s="1"/>
      <c r="B9" s="2"/>
      <c r="C9" s="2"/>
      <c r="D9" s="2"/>
      <c r="E9" s="2"/>
      <c r="F9" s="2"/>
      <c r="G9" s="2" t="s">
        <v>17</v>
      </c>
      <c r="H9" s="2">
        <v>92</v>
      </c>
      <c r="I9" s="2">
        <v>74</v>
      </c>
      <c r="J9" s="2">
        <v>70</v>
      </c>
      <c r="K9" s="2">
        <v>83</v>
      </c>
      <c r="L9" s="2">
        <v>79</v>
      </c>
      <c r="M9" s="2" t="s">
        <v>20</v>
      </c>
      <c r="N9" s="2" t="s">
        <v>20</v>
      </c>
      <c r="O9" s="2">
        <v>398</v>
      </c>
      <c r="P9" s="2">
        <v>79.599999999999994</v>
      </c>
      <c r="Q9" s="2"/>
      <c r="R9" s="2"/>
      <c r="S9" s="2"/>
    </row>
    <row r="10" spans="1:20" x14ac:dyDescent="0.25">
      <c r="A10" s="1">
        <v>5</v>
      </c>
      <c r="B10" s="2" t="s">
        <v>48</v>
      </c>
      <c r="C10" s="2">
        <v>7</v>
      </c>
      <c r="D10" s="2" t="s">
        <v>43</v>
      </c>
      <c r="E10" s="39" t="s">
        <v>426</v>
      </c>
      <c r="F10" s="2"/>
      <c r="G10" s="2" t="s">
        <v>16</v>
      </c>
      <c r="H10" s="2">
        <v>80</v>
      </c>
      <c r="I10" s="2">
        <v>68</v>
      </c>
      <c r="J10" s="2">
        <v>80</v>
      </c>
      <c r="K10" s="2">
        <v>84</v>
      </c>
      <c r="L10" s="2">
        <v>73</v>
      </c>
      <c r="M10" s="2" t="s">
        <v>20</v>
      </c>
      <c r="N10" s="2" t="s">
        <v>19</v>
      </c>
      <c r="O10" s="2">
        <v>385</v>
      </c>
      <c r="P10" s="2">
        <v>77</v>
      </c>
      <c r="Q10" s="2"/>
      <c r="R10" s="2" t="s">
        <v>20</v>
      </c>
      <c r="S10" s="2"/>
    </row>
    <row r="11" spans="1:20" x14ac:dyDescent="0.25">
      <c r="A11" s="1"/>
      <c r="B11" s="2"/>
      <c r="C11" s="2"/>
      <c r="D11" s="2"/>
      <c r="E11" s="2"/>
      <c r="F11" s="2"/>
      <c r="G11" s="2" t="s">
        <v>17</v>
      </c>
      <c r="H11" s="2">
        <v>91</v>
      </c>
      <c r="I11" s="2">
        <v>73</v>
      </c>
      <c r="J11" s="2">
        <v>50</v>
      </c>
      <c r="K11" s="2">
        <v>70</v>
      </c>
      <c r="L11" s="2">
        <v>86</v>
      </c>
      <c r="M11" s="2" t="s">
        <v>21</v>
      </c>
      <c r="N11" s="2" t="s">
        <v>19</v>
      </c>
      <c r="O11" s="2">
        <v>370</v>
      </c>
      <c r="P11" s="2">
        <v>74</v>
      </c>
      <c r="Q11" s="2"/>
      <c r="R11" s="2" t="s">
        <v>20</v>
      </c>
      <c r="S11" s="2"/>
    </row>
    <row r="12" spans="1:20" x14ac:dyDescent="0.25">
      <c r="A12" s="1">
        <v>6</v>
      </c>
      <c r="B12" s="9" t="s">
        <v>49</v>
      </c>
      <c r="C12" s="2">
        <v>7</v>
      </c>
      <c r="D12" s="2" t="s">
        <v>43</v>
      </c>
      <c r="E12" s="39" t="s">
        <v>427</v>
      </c>
      <c r="F12" s="2"/>
      <c r="G12" s="2" t="s">
        <v>16</v>
      </c>
      <c r="H12" s="2">
        <v>60</v>
      </c>
      <c r="I12" s="2">
        <v>63</v>
      </c>
      <c r="J12" s="2">
        <v>82</v>
      </c>
      <c r="K12" s="2">
        <v>88</v>
      </c>
      <c r="L12" s="2">
        <v>48</v>
      </c>
      <c r="M12" s="2" t="s">
        <v>20</v>
      </c>
      <c r="N12" s="2" t="s">
        <v>21</v>
      </c>
      <c r="O12" s="2">
        <v>341</v>
      </c>
      <c r="P12" s="2">
        <v>68.2</v>
      </c>
      <c r="Q12" s="2"/>
      <c r="R12" s="2" t="s">
        <v>20</v>
      </c>
      <c r="S12" s="2"/>
    </row>
    <row r="13" spans="1:20" x14ac:dyDescent="0.25">
      <c r="A13" s="1"/>
      <c r="B13" s="2"/>
      <c r="C13" s="2"/>
      <c r="D13" s="2"/>
      <c r="E13" s="2"/>
      <c r="F13" s="2"/>
      <c r="G13" s="2" t="s">
        <v>17</v>
      </c>
      <c r="H13" s="2">
        <v>54</v>
      </c>
      <c r="I13" s="2">
        <v>56</v>
      </c>
      <c r="J13" s="2">
        <v>52</v>
      </c>
      <c r="K13" s="2">
        <v>60</v>
      </c>
      <c r="L13" s="2">
        <v>58</v>
      </c>
      <c r="M13" s="2" t="s">
        <v>19</v>
      </c>
      <c r="N13" s="2" t="s">
        <v>21</v>
      </c>
      <c r="O13" s="2">
        <v>280</v>
      </c>
      <c r="P13" s="2">
        <v>56</v>
      </c>
      <c r="Q13" s="2"/>
      <c r="R13" s="2"/>
      <c r="S13" s="2"/>
    </row>
    <row r="14" spans="1:20" x14ac:dyDescent="0.25">
      <c r="A14" s="1">
        <v>7</v>
      </c>
      <c r="B14" s="2" t="s">
        <v>50</v>
      </c>
      <c r="C14" s="2">
        <v>7</v>
      </c>
      <c r="D14" s="2" t="s">
        <v>43</v>
      </c>
      <c r="E14" s="39" t="s">
        <v>428</v>
      </c>
      <c r="F14" s="2"/>
      <c r="G14" s="2" t="s">
        <v>16</v>
      </c>
      <c r="H14" s="2">
        <v>67</v>
      </c>
      <c r="I14" s="2">
        <v>56</v>
      </c>
      <c r="J14" s="2">
        <v>66</v>
      </c>
      <c r="K14" s="2">
        <v>67</v>
      </c>
      <c r="L14" s="2">
        <v>53</v>
      </c>
      <c r="M14" s="2" t="s">
        <v>20</v>
      </c>
      <c r="N14" s="2" t="s">
        <v>21</v>
      </c>
      <c r="O14" s="2">
        <v>309</v>
      </c>
      <c r="P14" s="2">
        <v>61.8</v>
      </c>
      <c r="Q14" s="2"/>
      <c r="R14" s="2" t="s">
        <v>19</v>
      </c>
      <c r="S14" s="2"/>
    </row>
    <row r="15" spans="1:20" x14ac:dyDescent="0.25">
      <c r="A15" s="1"/>
      <c r="B15" s="2"/>
      <c r="C15" s="2"/>
      <c r="D15" s="2"/>
      <c r="E15" s="2"/>
      <c r="F15" s="2"/>
      <c r="G15" s="2" t="s">
        <v>17</v>
      </c>
      <c r="H15" s="2">
        <v>74</v>
      </c>
      <c r="I15" s="2">
        <v>61</v>
      </c>
      <c r="J15" s="2">
        <v>68</v>
      </c>
      <c r="K15" s="2">
        <v>60</v>
      </c>
      <c r="L15" s="2">
        <v>61</v>
      </c>
      <c r="M15" s="2" t="s">
        <v>19</v>
      </c>
      <c r="N15" s="2" t="s">
        <v>21</v>
      </c>
      <c r="O15" s="2">
        <v>324</v>
      </c>
      <c r="P15" s="2">
        <v>64.8</v>
      </c>
      <c r="Q15" s="2"/>
      <c r="R15" s="2"/>
      <c r="S15" s="2"/>
    </row>
    <row r="16" spans="1:20" x14ac:dyDescent="0.25">
      <c r="A16" s="1">
        <v>8</v>
      </c>
      <c r="B16" s="9" t="s">
        <v>51</v>
      </c>
      <c r="C16" s="2">
        <v>9</v>
      </c>
      <c r="D16" s="2" t="s">
        <v>43</v>
      </c>
      <c r="E16" s="39" t="s">
        <v>429</v>
      </c>
      <c r="F16" s="2"/>
      <c r="G16" s="2" t="s">
        <v>16</v>
      </c>
      <c r="H16" s="2">
        <v>78</v>
      </c>
      <c r="I16" s="2">
        <v>77</v>
      </c>
      <c r="J16" s="2">
        <v>88</v>
      </c>
      <c r="K16" s="2">
        <v>96</v>
      </c>
      <c r="L16" s="2">
        <v>84</v>
      </c>
      <c r="M16" s="2" t="s">
        <v>20</v>
      </c>
      <c r="N16" s="2" t="s">
        <v>21</v>
      </c>
      <c r="O16" s="2">
        <v>423</v>
      </c>
      <c r="P16" s="2">
        <v>84.6</v>
      </c>
      <c r="Q16" s="2"/>
      <c r="R16" s="2" t="s">
        <v>19</v>
      </c>
      <c r="S16" s="2"/>
    </row>
    <row r="17" spans="1:19" x14ac:dyDescent="0.25">
      <c r="A17" s="1"/>
      <c r="B17" s="2"/>
      <c r="C17" s="2"/>
      <c r="D17" s="2"/>
      <c r="E17" s="2"/>
      <c r="F17" s="2"/>
      <c r="G17" s="2" t="s">
        <v>17</v>
      </c>
      <c r="H17" s="2">
        <v>89</v>
      </c>
      <c r="I17" s="2">
        <v>64</v>
      </c>
      <c r="J17" s="2">
        <v>77</v>
      </c>
      <c r="K17" s="2">
        <v>91</v>
      </c>
      <c r="L17" s="2">
        <v>90</v>
      </c>
      <c r="M17" s="2" t="s">
        <v>19</v>
      </c>
      <c r="N17" s="2" t="s">
        <v>21</v>
      </c>
      <c r="O17" s="2">
        <v>411</v>
      </c>
      <c r="P17" s="2">
        <v>82.2</v>
      </c>
      <c r="Q17" s="2"/>
      <c r="R17" s="2"/>
      <c r="S17" s="2"/>
    </row>
    <row r="18" spans="1:19" x14ac:dyDescent="0.25">
      <c r="A18" s="1">
        <v>9</v>
      </c>
      <c r="B18" s="2" t="s">
        <v>52</v>
      </c>
      <c r="C18" s="2">
        <v>6</v>
      </c>
      <c r="D18" s="2" t="s">
        <v>42</v>
      </c>
      <c r="E18" s="39" t="s">
        <v>430</v>
      </c>
      <c r="F18" s="2"/>
      <c r="G18" s="2" t="s">
        <v>16</v>
      </c>
      <c r="H18" s="2">
        <v>90</v>
      </c>
      <c r="I18" s="2">
        <v>92</v>
      </c>
      <c r="J18" s="2">
        <v>88</v>
      </c>
      <c r="K18" s="2">
        <v>98</v>
      </c>
      <c r="L18" s="2">
        <v>93</v>
      </c>
      <c r="M18" s="2" t="s">
        <v>19</v>
      </c>
      <c r="N18" s="2" t="s">
        <v>19</v>
      </c>
      <c r="O18" s="2">
        <v>461</v>
      </c>
      <c r="P18" s="2">
        <v>92.2</v>
      </c>
      <c r="Q18" s="2"/>
      <c r="R18" s="2" t="s">
        <v>20</v>
      </c>
      <c r="S18" s="2"/>
    </row>
    <row r="19" spans="1:19" x14ac:dyDescent="0.25">
      <c r="A19" s="1"/>
      <c r="B19" s="2"/>
      <c r="C19" s="2"/>
      <c r="D19" s="2"/>
      <c r="E19" s="2"/>
      <c r="F19" s="2"/>
      <c r="G19" s="2" t="s">
        <v>17</v>
      </c>
      <c r="H19" s="2">
        <v>79</v>
      </c>
      <c r="I19" s="2">
        <v>95</v>
      </c>
      <c r="J19" s="2">
        <v>89</v>
      </c>
      <c r="K19" s="2">
        <v>96</v>
      </c>
      <c r="L19" s="2">
        <v>97</v>
      </c>
      <c r="M19" s="2" t="s">
        <v>19</v>
      </c>
      <c r="N19" s="2" t="s">
        <v>20</v>
      </c>
      <c r="O19" s="2">
        <v>456</v>
      </c>
      <c r="P19" s="2">
        <v>91.2</v>
      </c>
      <c r="Q19" s="2"/>
      <c r="R19" s="2"/>
      <c r="S19" s="2"/>
    </row>
    <row r="20" spans="1:19" x14ac:dyDescent="0.25">
      <c r="A20" s="1">
        <v>10</v>
      </c>
      <c r="B20" s="2" t="s">
        <v>53</v>
      </c>
      <c r="C20" s="2">
        <v>7</v>
      </c>
      <c r="D20" s="2" t="s">
        <v>43</v>
      </c>
      <c r="E20" s="39" t="s">
        <v>431</v>
      </c>
      <c r="F20" s="2"/>
      <c r="G20" s="2" t="s">
        <v>16</v>
      </c>
      <c r="H20" s="2">
        <v>96</v>
      </c>
      <c r="I20" s="2">
        <v>67</v>
      </c>
      <c r="J20" s="2">
        <v>83</v>
      </c>
      <c r="K20" s="2">
        <v>95</v>
      </c>
      <c r="L20" s="2">
        <v>76</v>
      </c>
      <c r="M20" s="2" t="s">
        <v>20</v>
      </c>
      <c r="N20" s="2" t="s">
        <v>20</v>
      </c>
      <c r="O20" s="2">
        <v>417</v>
      </c>
      <c r="P20" s="2">
        <v>83.4</v>
      </c>
      <c r="Q20" s="2"/>
      <c r="R20" s="2" t="s">
        <v>20</v>
      </c>
      <c r="S20" s="2"/>
    </row>
    <row r="21" spans="1:19" x14ac:dyDescent="0.25">
      <c r="A21" s="1"/>
      <c r="B21" s="2"/>
      <c r="C21" s="2"/>
      <c r="D21" s="2"/>
      <c r="E21" s="2"/>
      <c r="F21" s="2"/>
      <c r="G21" s="2" t="s">
        <v>17</v>
      </c>
      <c r="H21" s="2">
        <v>96</v>
      </c>
      <c r="I21" s="2">
        <v>86</v>
      </c>
      <c r="J21" s="2">
        <v>87</v>
      </c>
      <c r="K21" s="2">
        <v>95</v>
      </c>
      <c r="L21" s="2">
        <v>91</v>
      </c>
      <c r="M21" s="2" t="s">
        <v>19</v>
      </c>
      <c r="N21" s="2" t="s">
        <v>19</v>
      </c>
      <c r="O21" s="2">
        <v>455</v>
      </c>
      <c r="P21" s="2">
        <v>91</v>
      </c>
      <c r="Q21" s="2"/>
      <c r="R21" s="2"/>
      <c r="S21" s="2"/>
    </row>
    <row r="22" spans="1:19" x14ac:dyDescent="0.25">
      <c r="A22" s="1">
        <v>11</v>
      </c>
      <c r="B22" s="2" t="s">
        <v>54</v>
      </c>
      <c r="C22" s="2">
        <v>8</v>
      </c>
      <c r="D22" s="2" t="s">
        <v>42</v>
      </c>
      <c r="E22" s="39" t="s">
        <v>432</v>
      </c>
      <c r="F22" s="2"/>
      <c r="G22" s="2" t="s">
        <v>16</v>
      </c>
      <c r="H22" s="2">
        <v>94</v>
      </c>
      <c r="I22" s="2">
        <v>90</v>
      </c>
      <c r="J22" s="2">
        <v>86</v>
      </c>
      <c r="K22" s="2">
        <v>96</v>
      </c>
      <c r="L22" s="2">
        <v>95</v>
      </c>
      <c r="M22" s="2" t="s">
        <v>20</v>
      </c>
      <c r="N22" s="2" t="s">
        <v>19</v>
      </c>
      <c r="O22" s="2">
        <v>461</v>
      </c>
      <c r="P22" s="2">
        <v>92.2</v>
      </c>
      <c r="Q22" s="2"/>
      <c r="R22" s="2" t="s">
        <v>20</v>
      </c>
      <c r="S22" s="2"/>
    </row>
    <row r="23" spans="1:19" x14ac:dyDescent="0.25">
      <c r="A23" s="1"/>
      <c r="B23" s="2"/>
      <c r="C23" s="2"/>
      <c r="D23" s="2"/>
      <c r="E23" s="2"/>
      <c r="F23" s="2"/>
      <c r="G23" s="2" t="s">
        <v>17</v>
      </c>
      <c r="H23" s="2">
        <v>92</v>
      </c>
      <c r="I23" s="2">
        <v>91</v>
      </c>
      <c r="J23" s="2">
        <v>88</v>
      </c>
      <c r="K23" s="2">
        <v>93</v>
      </c>
      <c r="L23" s="2">
        <v>87</v>
      </c>
      <c r="M23" s="2" t="s">
        <v>20</v>
      </c>
      <c r="N23" s="2" t="s">
        <v>20</v>
      </c>
      <c r="O23" s="2">
        <v>451</v>
      </c>
      <c r="P23" s="2">
        <v>90.2</v>
      </c>
      <c r="Q23" s="2"/>
      <c r="R23" s="2"/>
      <c r="S23" s="2"/>
    </row>
    <row r="24" spans="1:19" x14ac:dyDescent="0.25">
      <c r="A24" s="1">
        <v>12</v>
      </c>
      <c r="B24" s="2" t="s">
        <v>55</v>
      </c>
      <c r="C24" s="2">
        <v>7</v>
      </c>
      <c r="D24" s="2" t="s">
        <v>42</v>
      </c>
      <c r="E24" s="39" t="s">
        <v>433</v>
      </c>
      <c r="F24" s="2"/>
      <c r="G24" s="2" t="s">
        <v>16</v>
      </c>
      <c r="H24" s="2">
        <v>79</v>
      </c>
      <c r="I24" s="2">
        <v>90</v>
      </c>
      <c r="J24" s="2">
        <v>74</v>
      </c>
      <c r="K24" s="2">
        <v>80</v>
      </c>
      <c r="L24" s="2">
        <v>87</v>
      </c>
      <c r="M24" s="2" t="s">
        <v>20</v>
      </c>
      <c r="N24" s="2" t="s">
        <v>19</v>
      </c>
      <c r="O24" s="2">
        <v>410</v>
      </c>
      <c r="P24" s="2">
        <v>82</v>
      </c>
      <c r="Q24" s="2"/>
      <c r="R24" s="2" t="s">
        <v>20</v>
      </c>
      <c r="S24" s="2"/>
    </row>
    <row r="25" spans="1:19" x14ac:dyDescent="0.25">
      <c r="A25" s="1"/>
      <c r="B25" s="2"/>
      <c r="C25" s="2"/>
      <c r="D25" s="2"/>
      <c r="E25" s="2"/>
      <c r="F25" s="2"/>
      <c r="G25" s="2" t="s">
        <v>17</v>
      </c>
      <c r="H25" s="2">
        <v>87</v>
      </c>
      <c r="I25" s="2">
        <v>77</v>
      </c>
      <c r="J25" s="2">
        <v>80</v>
      </c>
      <c r="K25" s="2">
        <v>88</v>
      </c>
      <c r="L25" s="2">
        <v>86</v>
      </c>
      <c r="M25" s="2" t="s">
        <v>20</v>
      </c>
      <c r="N25" s="2" t="s">
        <v>19</v>
      </c>
      <c r="O25" s="2">
        <v>418</v>
      </c>
      <c r="P25" s="2">
        <v>83.6</v>
      </c>
      <c r="Q25" s="2"/>
      <c r="R25" s="2"/>
      <c r="S25" s="2"/>
    </row>
    <row r="26" spans="1:19" x14ac:dyDescent="0.25">
      <c r="A26" s="1">
        <v>13</v>
      </c>
      <c r="B26" s="2" t="s">
        <v>56</v>
      </c>
      <c r="C26" s="2">
        <v>9</v>
      </c>
      <c r="D26" s="2" t="s">
        <v>42</v>
      </c>
      <c r="E26" s="39" t="s">
        <v>434</v>
      </c>
      <c r="F26" s="2"/>
      <c r="G26" s="2" t="s">
        <v>16</v>
      </c>
      <c r="H26" s="2">
        <v>97</v>
      </c>
      <c r="I26" s="2">
        <v>97</v>
      </c>
      <c r="J26" s="2">
        <v>93</v>
      </c>
      <c r="K26" s="2">
        <v>100</v>
      </c>
      <c r="L26" s="2">
        <v>99</v>
      </c>
      <c r="M26" s="2" t="s">
        <v>20</v>
      </c>
      <c r="N26" s="2" t="s">
        <v>19</v>
      </c>
      <c r="O26" s="2">
        <v>486</v>
      </c>
      <c r="P26" s="2">
        <v>97.2</v>
      </c>
      <c r="Q26" s="2">
        <v>1</v>
      </c>
      <c r="R26" s="2" t="s">
        <v>20</v>
      </c>
      <c r="S26" s="2"/>
    </row>
    <row r="27" spans="1:19" x14ac:dyDescent="0.25">
      <c r="A27" s="1"/>
      <c r="B27" s="2"/>
      <c r="C27" s="2"/>
      <c r="D27" s="2"/>
      <c r="E27" s="2"/>
      <c r="F27" s="2"/>
      <c r="G27" s="2" t="s">
        <v>17</v>
      </c>
      <c r="H27" s="2">
        <v>90</v>
      </c>
      <c r="I27" s="2">
        <v>92</v>
      </c>
      <c r="J27" s="2">
        <v>76</v>
      </c>
      <c r="K27" s="2">
        <v>98</v>
      </c>
      <c r="L27" s="2">
        <v>97</v>
      </c>
      <c r="M27" s="2" t="s">
        <v>20</v>
      </c>
      <c r="N27" s="2" t="s">
        <v>20</v>
      </c>
      <c r="O27" s="2">
        <v>453</v>
      </c>
      <c r="P27" s="2">
        <v>90.6</v>
      </c>
      <c r="Q27" s="2"/>
      <c r="R27" s="2"/>
      <c r="S27" s="2"/>
    </row>
    <row r="28" spans="1:19" x14ac:dyDescent="0.25">
      <c r="A28" s="3">
        <v>14</v>
      </c>
      <c r="B28" s="4" t="s">
        <v>57</v>
      </c>
      <c r="C28" s="4">
        <v>7</v>
      </c>
      <c r="D28" s="4" t="s">
        <v>42</v>
      </c>
      <c r="E28" s="39" t="s">
        <v>435</v>
      </c>
      <c r="F28" s="4"/>
      <c r="G28" s="2" t="s">
        <v>16</v>
      </c>
      <c r="H28" s="4">
        <v>85</v>
      </c>
      <c r="I28" s="4">
        <v>51</v>
      </c>
      <c r="J28" s="4">
        <v>81</v>
      </c>
      <c r="K28" s="4">
        <v>96</v>
      </c>
      <c r="L28" s="4">
        <v>95</v>
      </c>
      <c r="M28" s="4" t="s">
        <v>19</v>
      </c>
      <c r="N28" s="4" t="s">
        <v>20</v>
      </c>
      <c r="O28" s="4">
        <v>408</v>
      </c>
      <c r="P28" s="4">
        <v>81.599999999999994</v>
      </c>
      <c r="Q28" s="4"/>
      <c r="R28" s="4" t="s">
        <v>20</v>
      </c>
      <c r="S28" s="4"/>
    </row>
    <row r="29" spans="1:19" x14ac:dyDescent="0.25">
      <c r="A29" s="1"/>
      <c r="B29" s="2"/>
      <c r="C29" s="2"/>
      <c r="D29" s="2"/>
      <c r="E29" s="2"/>
      <c r="F29" s="2"/>
      <c r="G29" s="2" t="s">
        <v>17</v>
      </c>
      <c r="H29" s="2">
        <v>78</v>
      </c>
      <c r="I29" s="2">
        <v>81</v>
      </c>
      <c r="J29" s="2">
        <v>84</v>
      </c>
      <c r="K29" s="2">
        <v>84</v>
      </c>
      <c r="L29" s="2">
        <v>84</v>
      </c>
      <c r="M29" s="2" t="s">
        <v>20</v>
      </c>
      <c r="N29" s="2" t="s">
        <v>21</v>
      </c>
      <c r="O29" s="2">
        <v>411</v>
      </c>
      <c r="P29" s="2">
        <v>82.2</v>
      </c>
      <c r="Q29" s="2"/>
      <c r="R29" s="2"/>
      <c r="S29" s="2"/>
    </row>
    <row r="30" spans="1:19" x14ac:dyDescent="0.25">
      <c r="A30" s="1">
        <v>15</v>
      </c>
      <c r="B30" s="2" t="s">
        <v>58</v>
      </c>
      <c r="C30" s="2">
        <v>7</v>
      </c>
      <c r="D30" s="2" t="s">
        <v>42</v>
      </c>
      <c r="E30" s="39" t="s">
        <v>436</v>
      </c>
      <c r="F30" s="2"/>
      <c r="G30" s="2" t="s">
        <v>16</v>
      </c>
      <c r="H30" s="2">
        <v>82</v>
      </c>
      <c r="I30" s="2">
        <v>67</v>
      </c>
      <c r="J30" s="2">
        <v>74</v>
      </c>
      <c r="K30" s="2">
        <v>65</v>
      </c>
      <c r="L30" s="2">
        <v>73</v>
      </c>
      <c r="M30" s="2" t="s">
        <v>20</v>
      </c>
      <c r="N30" s="2" t="s">
        <v>19</v>
      </c>
      <c r="O30" s="2">
        <v>361</v>
      </c>
      <c r="P30" s="2">
        <v>72.2</v>
      </c>
      <c r="Q30" s="2"/>
      <c r="R30" s="2" t="s">
        <v>20</v>
      </c>
      <c r="S30" s="2"/>
    </row>
    <row r="31" spans="1:19" x14ac:dyDescent="0.25">
      <c r="A31" s="1"/>
      <c r="B31" s="2"/>
      <c r="C31" s="2"/>
      <c r="D31" s="2"/>
      <c r="E31" s="2"/>
      <c r="F31" s="2"/>
      <c r="G31" s="2" t="s">
        <v>17</v>
      </c>
      <c r="H31" s="2">
        <v>90</v>
      </c>
      <c r="I31" s="2">
        <v>77</v>
      </c>
      <c r="J31" s="2">
        <v>71</v>
      </c>
      <c r="K31" s="2">
        <v>89</v>
      </c>
      <c r="L31" s="2">
        <v>81</v>
      </c>
      <c r="M31" s="2" t="s">
        <v>19</v>
      </c>
      <c r="N31" s="2" t="s">
        <v>21</v>
      </c>
      <c r="O31" s="2">
        <v>408</v>
      </c>
      <c r="P31" s="2">
        <v>81.599999999999994</v>
      </c>
      <c r="Q31" s="2"/>
      <c r="R31" s="2"/>
      <c r="S31" s="2"/>
    </row>
    <row r="32" spans="1:19" x14ac:dyDescent="0.25">
      <c r="A32" s="1">
        <v>16</v>
      </c>
      <c r="B32" s="2" t="s">
        <v>59</v>
      </c>
      <c r="C32" s="2">
        <v>6</v>
      </c>
      <c r="D32" s="2" t="s">
        <v>42</v>
      </c>
      <c r="E32" s="39" t="s">
        <v>437</v>
      </c>
      <c r="F32" s="2"/>
      <c r="G32" s="2" t="s">
        <v>16</v>
      </c>
      <c r="H32" s="2">
        <v>82</v>
      </c>
      <c r="I32" s="2">
        <v>80</v>
      </c>
      <c r="J32" s="2">
        <v>86</v>
      </c>
      <c r="K32" s="2">
        <v>90</v>
      </c>
      <c r="L32" s="2">
        <v>87</v>
      </c>
      <c r="M32" s="2" t="s">
        <v>20</v>
      </c>
      <c r="N32" s="2" t="s">
        <v>21</v>
      </c>
      <c r="O32" s="2">
        <v>425</v>
      </c>
      <c r="P32" s="2">
        <v>85</v>
      </c>
      <c r="Q32" s="2"/>
      <c r="R32" s="2" t="s">
        <v>20</v>
      </c>
      <c r="S32" s="2"/>
    </row>
    <row r="33" spans="1:19" x14ac:dyDescent="0.25">
      <c r="A33" s="1"/>
      <c r="B33" s="2"/>
      <c r="C33" s="2"/>
      <c r="D33" s="2"/>
      <c r="E33" s="2"/>
      <c r="F33" s="2"/>
      <c r="G33" s="2" t="s">
        <v>17</v>
      </c>
      <c r="H33" s="2">
        <v>77</v>
      </c>
      <c r="I33" s="2">
        <v>74</v>
      </c>
      <c r="J33" s="2">
        <v>76</v>
      </c>
      <c r="K33" s="2">
        <v>95</v>
      </c>
      <c r="L33" s="2">
        <v>78</v>
      </c>
      <c r="M33" s="2" t="s">
        <v>19</v>
      </c>
      <c r="N33" s="2" t="s">
        <v>21</v>
      </c>
      <c r="O33" s="2">
        <v>400</v>
      </c>
      <c r="P33" s="2">
        <v>80</v>
      </c>
      <c r="Q33" s="2"/>
      <c r="R33" s="2"/>
      <c r="S33" s="2"/>
    </row>
    <row r="34" spans="1:19" x14ac:dyDescent="0.25">
      <c r="A34" s="1">
        <v>17</v>
      </c>
      <c r="B34" s="9" t="s">
        <v>60</v>
      </c>
      <c r="C34" s="2">
        <v>7</v>
      </c>
      <c r="D34" s="2" t="s">
        <v>43</v>
      </c>
      <c r="E34" s="39" t="s">
        <v>438</v>
      </c>
      <c r="F34" s="2"/>
      <c r="G34" s="2" t="s">
        <v>16</v>
      </c>
      <c r="H34" s="2">
        <v>84</v>
      </c>
      <c r="I34" s="2">
        <v>85</v>
      </c>
      <c r="J34" s="2">
        <v>90.5</v>
      </c>
      <c r="K34" s="2">
        <v>100</v>
      </c>
      <c r="L34" s="2">
        <v>87</v>
      </c>
      <c r="M34" s="2" t="s">
        <v>20</v>
      </c>
      <c r="N34" s="2" t="s">
        <v>19</v>
      </c>
      <c r="O34" s="2">
        <v>440</v>
      </c>
      <c r="P34" s="2">
        <v>88</v>
      </c>
      <c r="Q34" s="2"/>
      <c r="R34" s="2" t="s">
        <v>20</v>
      </c>
      <c r="S34" s="2"/>
    </row>
    <row r="35" spans="1:19" x14ac:dyDescent="0.25">
      <c r="A35" s="1"/>
      <c r="B35" s="2"/>
      <c r="C35" s="2"/>
      <c r="D35" s="2"/>
      <c r="E35" s="2"/>
      <c r="F35" s="2"/>
      <c r="G35" s="2" t="s">
        <v>17</v>
      </c>
      <c r="H35" s="2">
        <v>86</v>
      </c>
      <c r="I35" s="2">
        <v>82</v>
      </c>
      <c r="J35" s="2">
        <v>86</v>
      </c>
      <c r="K35" s="2">
        <v>97</v>
      </c>
      <c r="L35" s="2">
        <v>92</v>
      </c>
      <c r="M35" s="2" t="s">
        <v>20</v>
      </c>
      <c r="N35" s="2" t="s">
        <v>19</v>
      </c>
      <c r="O35" s="2">
        <v>443</v>
      </c>
      <c r="P35" s="2">
        <v>88.6</v>
      </c>
      <c r="Q35" s="2"/>
      <c r="R35" s="2"/>
      <c r="S35" s="2"/>
    </row>
    <row r="36" spans="1:19" x14ac:dyDescent="0.25">
      <c r="A36" s="1">
        <v>18</v>
      </c>
      <c r="B36" s="2" t="s">
        <v>61</v>
      </c>
      <c r="C36" s="2">
        <v>8</v>
      </c>
      <c r="D36" s="2" t="s">
        <v>43</v>
      </c>
      <c r="E36" s="46" t="s">
        <v>699</v>
      </c>
      <c r="F36" s="2"/>
      <c r="G36" s="2" t="s">
        <v>16</v>
      </c>
      <c r="H36" s="2">
        <v>93</v>
      </c>
      <c r="I36" s="2">
        <v>90</v>
      </c>
      <c r="J36" s="2">
        <v>90</v>
      </c>
      <c r="K36" s="2">
        <v>98</v>
      </c>
      <c r="L36" s="2">
        <v>90</v>
      </c>
      <c r="M36" s="2" t="s">
        <v>20</v>
      </c>
      <c r="N36" s="2" t="s">
        <v>19</v>
      </c>
      <c r="O36" s="2">
        <v>461</v>
      </c>
      <c r="P36" s="2">
        <v>92.2</v>
      </c>
      <c r="Q36" s="2"/>
      <c r="R36" s="2" t="s">
        <v>20</v>
      </c>
      <c r="S36" s="2"/>
    </row>
    <row r="37" spans="1:19" x14ac:dyDescent="0.25">
      <c r="A37" s="1"/>
      <c r="B37" s="2"/>
      <c r="C37" s="2"/>
      <c r="D37" s="2"/>
      <c r="E37" s="2"/>
      <c r="F37" s="2"/>
      <c r="G37" s="2" t="s">
        <v>17</v>
      </c>
      <c r="H37" s="2">
        <v>86</v>
      </c>
      <c r="I37" s="2">
        <v>97</v>
      </c>
      <c r="J37" s="2">
        <v>91</v>
      </c>
      <c r="K37" s="2">
        <v>96</v>
      </c>
      <c r="L37" s="2">
        <v>93</v>
      </c>
      <c r="M37" s="2" t="s">
        <v>19</v>
      </c>
      <c r="N37" s="2" t="s">
        <v>20</v>
      </c>
      <c r="O37" s="2">
        <v>463</v>
      </c>
      <c r="P37" s="2">
        <v>92.6</v>
      </c>
      <c r="Q37" s="2"/>
      <c r="R37" s="2"/>
      <c r="S37" s="2"/>
    </row>
    <row r="38" spans="1:19" x14ac:dyDescent="0.25">
      <c r="A38" s="1">
        <v>19</v>
      </c>
      <c r="B38" s="2" t="s">
        <v>62</v>
      </c>
      <c r="C38" s="2">
        <v>6</v>
      </c>
      <c r="D38" s="2" t="s">
        <v>42</v>
      </c>
      <c r="E38" s="39" t="s">
        <v>439</v>
      </c>
      <c r="F38" s="2"/>
      <c r="G38" s="2" t="s">
        <v>16</v>
      </c>
      <c r="H38" s="2">
        <v>91</v>
      </c>
      <c r="I38" s="2">
        <v>93</v>
      </c>
      <c r="J38" s="2">
        <v>92</v>
      </c>
      <c r="K38" s="2">
        <v>93</v>
      </c>
      <c r="L38" s="2">
        <v>88</v>
      </c>
      <c r="M38" s="2" t="s">
        <v>20</v>
      </c>
      <c r="N38" s="2" t="s">
        <v>23</v>
      </c>
      <c r="O38" s="2">
        <v>457</v>
      </c>
      <c r="P38" s="2">
        <v>91.4</v>
      </c>
      <c r="Q38" s="2"/>
      <c r="R38" s="2" t="s">
        <v>20</v>
      </c>
      <c r="S38" s="2"/>
    </row>
    <row r="39" spans="1:19" x14ac:dyDescent="0.25">
      <c r="A39" s="1"/>
      <c r="B39" s="2"/>
      <c r="C39" s="2"/>
      <c r="D39" s="2"/>
      <c r="E39" s="2"/>
      <c r="F39" s="2"/>
      <c r="G39" s="2" t="s">
        <v>17</v>
      </c>
      <c r="H39" s="2">
        <v>97</v>
      </c>
      <c r="I39" s="2">
        <v>89</v>
      </c>
      <c r="J39" s="2">
        <v>95</v>
      </c>
      <c r="K39" s="2">
        <v>91</v>
      </c>
      <c r="L39" s="2">
        <v>93</v>
      </c>
      <c r="M39" s="2" t="s">
        <v>20</v>
      </c>
      <c r="N39" s="2" t="s">
        <v>20</v>
      </c>
      <c r="O39" s="2">
        <v>465</v>
      </c>
      <c r="P39" s="2">
        <v>93</v>
      </c>
      <c r="Q39" s="2">
        <v>5</v>
      </c>
      <c r="R39" s="2"/>
      <c r="S39" s="2"/>
    </row>
    <row r="40" spans="1:19" x14ac:dyDescent="0.25">
      <c r="A40" s="1">
        <v>20</v>
      </c>
      <c r="B40" s="2" t="s">
        <v>63</v>
      </c>
      <c r="C40" s="2">
        <v>7</v>
      </c>
      <c r="D40" s="2" t="s">
        <v>43</v>
      </c>
      <c r="E40" s="39" t="s">
        <v>440</v>
      </c>
      <c r="F40" s="2"/>
      <c r="G40" s="2" t="s">
        <v>16</v>
      </c>
      <c r="H40" s="2">
        <v>92</v>
      </c>
      <c r="I40" s="2">
        <v>71</v>
      </c>
      <c r="J40" s="2">
        <v>91</v>
      </c>
      <c r="K40" s="2">
        <v>86</v>
      </c>
      <c r="L40" s="2">
        <v>85</v>
      </c>
      <c r="M40" s="2" t="s">
        <v>20</v>
      </c>
      <c r="N40" s="2" t="s">
        <v>19</v>
      </c>
      <c r="O40" s="2">
        <v>425</v>
      </c>
      <c r="P40" s="2">
        <v>85</v>
      </c>
      <c r="Q40" s="2"/>
      <c r="R40" s="2" t="s">
        <v>20</v>
      </c>
      <c r="S40" s="2"/>
    </row>
    <row r="41" spans="1:19" x14ac:dyDescent="0.25">
      <c r="A41" s="1"/>
      <c r="B41" s="2"/>
      <c r="C41" s="2"/>
      <c r="D41" s="2"/>
      <c r="E41" s="2"/>
      <c r="F41" s="2"/>
      <c r="G41" s="2" t="s">
        <v>17</v>
      </c>
      <c r="H41" s="2">
        <v>89</v>
      </c>
      <c r="I41" s="2">
        <v>78</v>
      </c>
      <c r="J41" s="2">
        <v>88</v>
      </c>
      <c r="K41" s="2">
        <v>97</v>
      </c>
      <c r="L41" s="2">
        <v>88</v>
      </c>
      <c r="M41" s="2" t="s">
        <v>20</v>
      </c>
      <c r="N41" s="2" t="s">
        <v>19</v>
      </c>
      <c r="O41" s="2">
        <v>440</v>
      </c>
      <c r="P41" s="2">
        <v>88</v>
      </c>
      <c r="Q41" s="2"/>
      <c r="R41" s="2"/>
      <c r="S41" s="2"/>
    </row>
    <row r="42" spans="1:19" x14ac:dyDescent="0.25">
      <c r="A42" s="1">
        <v>21</v>
      </c>
      <c r="B42" s="2" t="s">
        <v>64</v>
      </c>
      <c r="C42" s="2">
        <v>8</v>
      </c>
      <c r="D42" s="2" t="s">
        <v>42</v>
      </c>
      <c r="E42" s="39" t="s">
        <v>441</v>
      </c>
      <c r="F42" s="2"/>
      <c r="G42" s="2" t="s">
        <v>16</v>
      </c>
      <c r="H42" s="2">
        <v>88</v>
      </c>
      <c r="I42" s="2">
        <v>99</v>
      </c>
      <c r="J42" s="2">
        <v>92</v>
      </c>
      <c r="K42" s="2">
        <v>100</v>
      </c>
      <c r="L42" s="2">
        <v>97</v>
      </c>
      <c r="M42" s="2" t="s">
        <v>19</v>
      </c>
      <c r="N42" s="2" t="s">
        <v>19</v>
      </c>
      <c r="O42" s="2">
        <v>476</v>
      </c>
      <c r="P42" s="2">
        <v>95.2</v>
      </c>
      <c r="Q42" s="2">
        <v>3</v>
      </c>
      <c r="R42" s="2" t="s">
        <v>20</v>
      </c>
      <c r="S42" s="2"/>
    </row>
    <row r="43" spans="1:19" x14ac:dyDescent="0.25">
      <c r="A43" s="1"/>
      <c r="B43" s="2"/>
      <c r="C43" s="2"/>
      <c r="D43" s="2"/>
      <c r="E43" s="2"/>
      <c r="F43" s="2"/>
      <c r="G43" s="2" t="s">
        <v>17</v>
      </c>
      <c r="H43" s="2">
        <v>90</v>
      </c>
      <c r="I43" s="2">
        <v>98</v>
      </c>
      <c r="J43" s="2">
        <v>93</v>
      </c>
      <c r="K43" s="2">
        <v>98</v>
      </c>
      <c r="L43" s="2">
        <v>94</v>
      </c>
      <c r="M43" s="2" t="s">
        <v>20</v>
      </c>
      <c r="N43" s="2" t="s">
        <v>19</v>
      </c>
      <c r="O43" s="2">
        <v>473</v>
      </c>
      <c r="P43" s="2">
        <v>94.6</v>
      </c>
      <c r="Q43" s="2">
        <v>3</v>
      </c>
      <c r="R43" s="2"/>
      <c r="S43" s="2"/>
    </row>
    <row r="44" spans="1:19" x14ac:dyDescent="0.25">
      <c r="A44" s="1">
        <v>22</v>
      </c>
      <c r="B44" s="2" t="s">
        <v>65</v>
      </c>
      <c r="C44" s="2">
        <v>7</v>
      </c>
      <c r="D44" s="2" t="s">
        <v>43</v>
      </c>
      <c r="E44" s="39" t="s">
        <v>442</v>
      </c>
      <c r="F44" s="2"/>
      <c r="G44" s="2" t="s">
        <v>16</v>
      </c>
      <c r="H44" s="2">
        <v>92</v>
      </c>
      <c r="I44" s="2">
        <v>79</v>
      </c>
      <c r="J44" s="2">
        <v>88</v>
      </c>
      <c r="K44" s="2">
        <v>98</v>
      </c>
      <c r="L44" s="2">
        <v>93</v>
      </c>
      <c r="M44" s="2" t="s">
        <v>19</v>
      </c>
      <c r="N44" s="2" t="s">
        <v>20</v>
      </c>
      <c r="O44" s="2">
        <v>450</v>
      </c>
      <c r="P44" s="2">
        <v>90</v>
      </c>
      <c r="Q44" s="2"/>
      <c r="R44" s="2" t="s">
        <v>19</v>
      </c>
      <c r="S44" s="2"/>
    </row>
    <row r="45" spans="1:19" x14ac:dyDescent="0.25">
      <c r="A45" s="1"/>
      <c r="B45" s="2"/>
      <c r="C45" s="2"/>
      <c r="D45" s="2"/>
      <c r="E45" s="2"/>
      <c r="F45" s="2"/>
      <c r="G45" s="2" t="s">
        <v>17</v>
      </c>
      <c r="H45" s="2">
        <v>89</v>
      </c>
      <c r="I45" s="2">
        <v>93</v>
      </c>
      <c r="J45" s="2">
        <v>94</v>
      </c>
      <c r="K45" s="2">
        <v>89</v>
      </c>
      <c r="L45" s="2">
        <v>99</v>
      </c>
      <c r="M45" s="2" t="s">
        <v>20</v>
      </c>
      <c r="N45" s="2" t="s">
        <v>20</v>
      </c>
      <c r="O45" s="2">
        <v>464</v>
      </c>
      <c r="P45" s="2">
        <v>92.8</v>
      </c>
      <c r="Q45" s="2"/>
      <c r="R45" s="2"/>
      <c r="S45" s="2"/>
    </row>
    <row r="46" spans="1:19" x14ac:dyDescent="0.25">
      <c r="A46" s="1">
        <v>23</v>
      </c>
      <c r="B46" s="2" t="s">
        <v>66</v>
      </c>
      <c r="C46" s="2">
        <v>8</v>
      </c>
      <c r="D46" s="2" t="s">
        <v>42</v>
      </c>
      <c r="E46" s="39" t="s">
        <v>443</v>
      </c>
      <c r="F46" s="2"/>
      <c r="G46" s="2" t="s">
        <v>16</v>
      </c>
      <c r="H46" s="2">
        <v>66</v>
      </c>
      <c r="I46" s="2">
        <v>70</v>
      </c>
      <c r="J46" s="2">
        <v>76</v>
      </c>
      <c r="K46" s="2">
        <v>80</v>
      </c>
      <c r="L46" s="2">
        <v>67</v>
      </c>
      <c r="M46" s="2" t="s">
        <v>20</v>
      </c>
      <c r="N46" s="2" t="s">
        <v>19</v>
      </c>
      <c r="O46" s="2">
        <v>359</v>
      </c>
      <c r="P46" s="2">
        <v>71.8</v>
      </c>
      <c r="Q46" s="2"/>
      <c r="R46" s="2" t="s">
        <v>20</v>
      </c>
      <c r="S46" s="2"/>
    </row>
    <row r="47" spans="1:19" x14ac:dyDescent="0.25">
      <c r="A47" s="1"/>
      <c r="B47" s="2"/>
      <c r="C47" s="2"/>
      <c r="D47" s="2"/>
      <c r="E47" s="2"/>
      <c r="F47" s="2"/>
      <c r="G47" s="2" t="s">
        <v>17</v>
      </c>
      <c r="H47" s="2">
        <v>73</v>
      </c>
      <c r="I47" s="2">
        <v>60</v>
      </c>
      <c r="J47" s="2">
        <v>74</v>
      </c>
      <c r="K47" s="2">
        <v>95</v>
      </c>
      <c r="L47" s="2">
        <v>88</v>
      </c>
      <c r="M47" s="2" t="s">
        <v>19</v>
      </c>
      <c r="N47" s="2" t="s">
        <v>21</v>
      </c>
      <c r="O47" s="2">
        <v>390</v>
      </c>
      <c r="P47" s="2">
        <v>78</v>
      </c>
      <c r="Q47" s="2"/>
      <c r="R47" s="2"/>
      <c r="S47" s="2"/>
    </row>
    <row r="48" spans="1:19" x14ac:dyDescent="0.25">
      <c r="A48" s="1">
        <v>24</v>
      </c>
      <c r="B48" s="2" t="s">
        <v>67</v>
      </c>
      <c r="C48" s="2">
        <v>7</v>
      </c>
      <c r="D48" s="2" t="s">
        <v>42</v>
      </c>
      <c r="E48" s="39" t="s">
        <v>444</v>
      </c>
      <c r="F48" s="2"/>
      <c r="G48" s="2" t="s">
        <v>16</v>
      </c>
      <c r="H48" s="2">
        <v>82</v>
      </c>
      <c r="I48" s="2">
        <v>75</v>
      </c>
      <c r="J48" s="2">
        <v>94</v>
      </c>
      <c r="K48" s="2">
        <v>89</v>
      </c>
      <c r="L48" s="2">
        <v>75</v>
      </c>
      <c r="M48" s="2" t="s">
        <v>20</v>
      </c>
      <c r="N48" s="2" t="s">
        <v>19</v>
      </c>
      <c r="O48" s="2">
        <v>415</v>
      </c>
      <c r="P48" s="2">
        <v>83</v>
      </c>
      <c r="Q48" s="2"/>
      <c r="R48" s="2" t="s">
        <v>20</v>
      </c>
      <c r="S48" s="2"/>
    </row>
    <row r="49" spans="1:19" x14ac:dyDescent="0.25">
      <c r="A49" s="1"/>
      <c r="B49" s="2"/>
      <c r="C49" s="2"/>
      <c r="D49" s="2"/>
      <c r="E49" s="2"/>
      <c r="F49" s="2"/>
      <c r="G49" s="2" t="s">
        <v>17</v>
      </c>
      <c r="H49" s="2">
        <v>73</v>
      </c>
      <c r="I49" s="2">
        <v>85</v>
      </c>
      <c r="J49" s="2">
        <v>82</v>
      </c>
      <c r="K49" s="2">
        <v>90</v>
      </c>
      <c r="L49" s="2">
        <v>95</v>
      </c>
      <c r="M49" s="2" t="s">
        <v>20</v>
      </c>
      <c r="N49" s="2" t="s">
        <v>19</v>
      </c>
      <c r="O49" s="2">
        <v>425</v>
      </c>
      <c r="P49" s="2">
        <v>85</v>
      </c>
      <c r="Q49" s="2"/>
      <c r="R49" s="2"/>
      <c r="S49" s="2"/>
    </row>
    <row r="50" spans="1:19" x14ac:dyDescent="0.25">
      <c r="A50" s="1">
        <v>25</v>
      </c>
      <c r="B50" s="2" t="s">
        <v>68</v>
      </c>
      <c r="C50" s="2">
        <v>7</v>
      </c>
      <c r="D50" s="2" t="s">
        <v>42</v>
      </c>
      <c r="E50" s="39" t="s">
        <v>445</v>
      </c>
      <c r="F50" s="2"/>
      <c r="G50" s="2" t="s">
        <v>16</v>
      </c>
      <c r="H50" s="2">
        <v>90</v>
      </c>
      <c r="I50" s="2">
        <v>79</v>
      </c>
      <c r="J50" s="2">
        <v>81</v>
      </c>
      <c r="K50" s="2">
        <v>91</v>
      </c>
      <c r="L50" s="2">
        <v>82</v>
      </c>
      <c r="M50" s="2" t="s">
        <v>20</v>
      </c>
      <c r="N50" s="2" t="s">
        <v>21</v>
      </c>
      <c r="O50" s="2">
        <v>423</v>
      </c>
      <c r="P50" s="2">
        <v>84.6</v>
      </c>
      <c r="Q50" s="2"/>
      <c r="R50" s="2" t="s">
        <v>20</v>
      </c>
      <c r="S50" s="2"/>
    </row>
    <row r="51" spans="1:19" x14ac:dyDescent="0.25">
      <c r="A51" s="1"/>
      <c r="B51" s="2"/>
      <c r="C51" s="2"/>
      <c r="D51" s="2"/>
      <c r="E51" s="2"/>
      <c r="F51" s="2"/>
      <c r="G51" s="2" t="s">
        <v>17</v>
      </c>
      <c r="H51" s="2">
        <v>89</v>
      </c>
      <c r="I51" s="2">
        <v>79</v>
      </c>
      <c r="J51" s="2">
        <v>86</v>
      </c>
      <c r="K51" s="2">
        <v>97</v>
      </c>
      <c r="L51" s="2">
        <v>89</v>
      </c>
      <c r="M51" s="2" t="s">
        <v>19</v>
      </c>
      <c r="N51" s="2" t="s">
        <v>19</v>
      </c>
      <c r="O51" s="2">
        <v>440</v>
      </c>
      <c r="P51" s="2">
        <v>88</v>
      </c>
      <c r="Q51" s="2"/>
      <c r="R51" s="2"/>
      <c r="S51" s="2"/>
    </row>
    <row r="52" spans="1:19" x14ac:dyDescent="0.25">
      <c r="A52" s="1">
        <v>26</v>
      </c>
      <c r="B52" s="2" t="s">
        <v>69</v>
      </c>
      <c r="C52" s="2">
        <v>7</v>
      </c>
      <c r="D52" s="2" t="s">
        <v>42</v>
      </c>
      <c r="E52" s="39" t="s">
        <v>446</v>
      </c>
      <c r="F52" s="2"/>
      <c r="G52" s="2" t="s">
        <v>16</v>
      </c>
      <c r="H52" s="2">
        <v>91</v>
      </c>
      <c r="I52" s="2">
        <v>89</v>
      </c>
      <c r="J52" s="2">
        <v>88</v>
      </c>
      <c r="K52" s="2">
        <v>92</v>
      </c>
      <c r="L52" s="2">
        <v>89</v>
      </c>
      <c r="M52" s="2" t="s">
        <v>20</v>
      </c>
      <c r="N52" s="2" t="s">
        <v>21</v>
      </c>
      <c r="O52" s="2">
        <v>449</v>
      </c>
      <c r="P52" s="2">
        <v>89.8</v>
      </c>
      <c r="Q52" s="2"/>
      <c r="R52" s="2" t="s">
        <v>20</v>
      </c>
      <c r="S52" s="2"/>
    </row>
    <row r="53" spans="1:19" x14ac:dyDescent="0.25">
      <c r="A53" s="1"/>
      <c r="B53" s="2"/>
      <c r="C53" s="2"/>
      <c r="D53" s="2"/>
      <c r="E53" s="2"/>
      <c r="F53" s="2"/>
      <c r="G53" s="2" t="s">
        <v>17</v>
      </c>
      <c r="H53" s="2">
        <v>89</v>
      </c>
      <c r="I53" s="2">
        <v>91</v>
      </c>
      <c r="J53" s="2">
        <v>85</v>
      </c>
      <c r="K53" s="2">
        <v>99</v>
      </c>
      <c r="L53" s="2">
        <v>95</v>
      </c>
      <c r="M53" s="2" t="s">
        <v>20</v>
      </c>
      <c r="N53" s="2" t="s">
        <v>20</v>
      </c>
      <c r="O53" s="2">
        <v>459</v>
      </c>
      <c r="P53" s="2">
        <v>91.8</v>
      </c>
      <c r="Q53" s="2"/>
      <c r="R53" s="2"/>
      <c r="S53" s="2"/>
    </row>
    <row r="54" spans="1:19" x14ac:dyDescent="0.25">
      <c r="A54" s="1">
        <v>27</v>
      </c>
      <c r="B54" s="2" t="s">
        <v>70</v>
      </c>
      <c r="C54" s="2">
        <v>7</v>
      </c>
      <c r="D54" s="2" t="s">
        <v>42</v>
      </c>
      <c r="E54" s="12" t="s">
        <v>700</v>
      </c>
      <c r="F54" s="2"/>
      <c r="G54" s="2" t="s">
        <v>16</v>
      </c>
      <c r="H54" s="2">
        <v>88</v>
      </c>
      <c r="I54" s="2">
        <v>83</v>
      </c>
      <c r="J54" s="2">
        <v>91</v>
      </c>
      <c r="K54" s="2">
        <v>99</v>
      </c>
      <c r="L54" s="2">
        <v>94</v>
      </c>
      <c r="M54" s="2" t="s">
        <v>20</v>
      </c>
      <c r="N54" s="2" t="s">
        <v>21</v>
      </c>
      <c r="O54" s="2">
        <v>455</v>
      </c>
      <c r="P54" s="2">
        <v>91</v>
      </c>
      <c r="Q54" s="2"/>
      <c r="R54" s="2" t="s">
        <v>20</v>
      </c>
      <c r="S54" s="2"/>
    </row>
    <row r="55" spans="1:19" x14ac:dyDescent="0.25">
      <c r="A55" s="1"/>
      <c r="B55" s="2"/>
      <c r="C55" s="2"/>
      <c r="D55" s="2"/>
      <c r="E55" s="2"/>
      <c r="F55" s="2"/>
      <c r="G55" s="2" t="s">
        <v>17</v>
      </c>
      <c r="H55" s="2">
        <v>98</v>
      </c>
      <c r="I55" s="2">
        <v>93</v>
      </c>
      <c r="J55" s="2">
        <v>88</v>
      </c>
      <c r="K55" s="2">
        <v>95</v>
      </c>
      <c r="L55" s="2">
        <v>97</v>
      </c>
      <c r="M55" s="2" t="s">
        <v>20</v>
      </c>
      <c r="N55" s="2" t="s">
        <v>19</v>
      </c>
      <c r="O55" s="2">
        <v>471</v>
      </c>
      <c r="P55" s="2">
        <v>94.2</v>
      </c>
      <c r="Q55" s="2"/>
      <c r="R55" s="2"/>
      <c r="S55" s="2"/>
    </row>
    <row r="56" spans="1:19" x14ac:dyDescent="0.25">
      <c r="A56" s="1">
        <v>28</v>
      </c>
      <c r="B56" s="2" t="s">
        <v>71</v>
      </c>
      <c r="C56" s="2">
        <v>7</v>
      </c>
      <c r="D56" s="2" t="s">
        <v>42</v>
      </c>
      <c r="E56" s="40" t="s">
        <v>447</v>
      </c>
      <c r="F56" s="2"/>
      <c r="G56" s="2" t="s">
        <v>16</v>
      </c>
      <c r="H56" s="2">
        <v>97</v>
      </c>
      <c r="I56" s="2">
        <v>84</v>
      </c>
      <c r="J56" s="2">
        <v>92</v>
      </c>
      <c r="K56" s="2">
        <v>100</v>
      </c>
      <c r="L56" s="2">
        <v>93</v>
      </c>
      <c r="M56" s="2" t="s">
        <v>20</v>
      </c>
      <c r="N56" s="2" t="s">
        <v>23</v>
      </c>
      <c r="O56" s="2">
        <v>466</v>
      </c>
      <c r="P56" s="2">
        <v>93.2</v>
      </c>
      <c r="Q56" s="2">
        <v>4</v>
      </c>
      <c r="R56" s="2" t="s">
        <v>20</v>
      </c>
      <c r="S56" s="2"/>
    </row>
    <row r="57" spans="1:19" x14ac:dyDescent="0.25">
      <c r="A57" s="1"/>
      <c r="B57" s="2"/>
      <c r="C57" s="2"/>
      <c r="D57" s="2"/>
      <c r="E57" s="2"/>
      <c r="F57" s="2"/>
      <c r="G57" s="2" t="s">
        <v>17</v>
      </c>
      <c r="H57" s="2">
        <v>96</v>
      </c>
      <c r="I57" s="2">
        <v>95</v>
      </c>
      <c r="J57" s="2">
        <v>90</v>
      </c>
      <c r="K57" s="2">
        <v>62</v>
      </c>
      <c r="L57" s="2">
        <v>90</v>
      </c>
      <c r="M57" s="2" t="s">
        <v>19</v>
      </c>
      <c r="N57" s="2" t="s">
        <v>19</v>
      </c>
      <c r="O57" s="2">
        <v>433</v>
      </c>
      <c r="P57" s="2">
        <v>86.6</v>
      </c>
      <c r="Q57" s="2"/>
      <c r="R57" s="2"/>
      <c r="S57" s="2"/>
    </row>
    <row r="58" spans="1:19" x14ac:dyDescent="0.25">
      <c r="A58" s="1">
        <v>29</v>
      </c>
      <c r="B58" s="2" t="s">
        <v>72</v>
      </c>
      <c r="C58" s="2">
        <v>7</v>
      </c>
      <c r="D58" s="2" t="s">
        <v>42</v>
      </c>
      <c r="E58" s="12" t="s">
        <v>701</v>
      </c>
      <c r="F58" s="2"/>
      <c r="G58" s="2" t="s">
        <v>16</v>
      </c>
      <c r="H58" s="2">
        <v>81</v>
      </c>
      <c r="I58" s="2">
        <v>49</v>
      </c>
      <c r="J58" s="2">
        <v>73</v>
      </c>
      <c r="K58" s="2">
        <v>74</v>
      </c>
      <c r="L58" s="2">
        <v>65</v>
      </c>
      <c r="M58" s="2" t="s">
        <v>19</v>
      </c>
      <c r="N58" s="2" t="s">
        <v>21</v>
      </c>
      <c r="O58" s="2">
        <v>342</v>
      </c>
      <c r="P58" s="2">
        <v>68.400000000000006</v>
      </c>
      <c r="Q58" s="2"/>
      <c r="R58" s="2" t="s">
        <v>20</v>
      </c>
      <c r="S58" s="2"/>
    </row>
    <row r="59" spans="1:19" x14ac:dyDescent="0.25">
      <c r="A59" s="1"/>
      <c r="B59" s="2"/>
      <c r="C59" s="2"/>
      <c r="D59" s="2"/>
      <c r="E59" s="2"/>
      <c r="F59" s="2"/>
      <c r="G59" s="2" t="s">
        <v>17</v>
      </c>
      <c r="H59" s="2">
        <v>66</v>
      </c>
      <c r="I59" s="2">
        <v>59</v>
      </c>
      <c r="J59" s="2">
        <v>50</v>
      </c>
      <c r="K59" s="2">
        <v>62</v>
      </c>
      <c r="L59" s="2">
        <v>62</v>
      </c>
      <c r="M59" s="2" t="s">
        <v>19</v>
      </c>
      <c r="N59" s="2" t="s">
        <v>21</v>
      </c>
      <c r="O59" s="2">
        <v>299</v>
      </c>
      <c r="P59" s="2">
        <v>59.8</v>
      </c>
      <c r="Q59" s="2"/>
      <c r="R59" s="2"/>
      <c r="S59" s="2"/>
    </row>
    <row r="60" spans="1:19" x14ac:dyDescent="0.25">
      <c r="A60" s="1">
        <v>30</v>
      </c>
      <c r="B60" s="2" t="s">
        <v>73</v>
      </c>
      <c r="C60" s="2">
        <v>8</v>
      </c>
      <c r="D60" s="2" t="s">
        <v>43</v>
      </c>
      <c r="E60" s="40" t="s">
        <v>448</v>
      </c>
      <c r="F60" s="2"/>
      <c r="G60" s="2" t="s">
        <v>16</v>
      </c>
      <c r="H60" s="2">
        <v>93</v>
      </c>
      <c r="I60" s="2">
        <v>94</v>
      </c>
      <c r="J60" s="2">
        <v>99</v>
      </c>
      <c r="K60" s="2">
        <v>100</v>
      </c>
      <c r="L60" s="2">
        <v>94</v>
      </c>
      <c r="M60" s="2" t="s">
        <v>20</v>
      </c>
      <c r="N60" s="2" t="s">
        <v>21</v>
      </c>
      <c r="O60" s="2">
        <v>480</v>
      </c>
      <c r="P60" s="2">
        <v>96</v>
      </c>
      <c r="Q60" s="2">
        <v>2</v>
      </c>
      <c r="R60" s="2" t="s">
        <v>23</v>
      </c>
      <c r="S60" s="2"/>
    </row>
    <row r="61" spans="1:19" x14ac:dyDescent="0.25">
      <c r="A61" s="1"/>
      <c r="B61" s="2"/>
      <c r="C61" s="2"/>
      <c r="D61" s="2"/>
      <c r="E61" s="2"/>
      <c r="F61" s="2"/>
      <c r="G61" s="2" t="s">
        <v>17</v>
      </c>
      <c r="H61" s="2">
        <v>94</v>
      </c>
      <c r="I61" s="2">
        <v>98</v>
      </c>
      <c r="J61" s="2">
        <v>98</v>
      </c>
      <c r="K61" s="2">
        <v>100</v>
      </c>
      <c r="L61" s="2">
        <v>97</v>
      </c>
      <c r="M61" s="2" t="s">
        <v>20</v>
      </c>
      <c r="N61" s="2" t="s">
        <v>20</v>
      </c>
      <c r="O61" s="2">
        <v>487</v>
      </c>
      <c r="P61" s="2">
        <v>97.4</v>
      </c>
      <c r="Q61" s="2">
        <v>1</v>
      </c>
      <c r="R61" s="2"/>
      <c r="S61" s="2"/>
    </row>
    <row r="62" spans="1:19" x14ac:dyDescent="0.25">
      <c r="A62" s="1">
        <v>31</v>
      </c>
      <c r="B62" s="2" t="s">
        <v>74</v>
      </c>
      <c r="C62" s="2">
        <v>7</v>
      </c>
      <c r="D62" s="2" t="s">
        <v>42</v>
      </c>
      <c r="E62" s="40" t="s">
        <v>449</v>
      </c>
      <c r="F62" s="2"/>
      <c r="G62" s="2" t="s">
        <v>16</v>
      </c>
      <c r="H62" s="2">
        <v>92</v>
      </c>
      <c r="I62" s="2">
        <v>83</v>
      </c>
      <c r="J62" s="2">
        <v>83</v>
      </c>
      <c r="K62" s="2">
        <v>88</v>
      </c>
      <c r="L62" s="2">
        <v>86</v>
      </c>
      <c r="M62" s="2" t="s">
        <v>20</v>
      </c>
      <c r="N62" s="2" t="s">
        <v>20</v>
      </c>
      <c r="O62" s="2">
        <v>432</v>
      </c>
      <c r="P62" s="2">
        <v>86.4</v>
      </c>
      <c r="Q62" s="2"/>
      <c r="R62" s="2" t="s">
        <v>20</v>
      </c>
      <c r="S62" s="2"/>
    </row>
    <row r="63" spans="1:19" x14ac:dyDescent="0.25">
      <c r="A63" s="1"/>
      <c r="B63" s="2"/>
      <c r="C63" s="2"/>
      <c r="D63" s="2"/>
      <c r="E63" s="2"/>
      <c r="F63" s="2"/>
      <c r="G63" s="2" t="s">
        <v>17</v>
      </c>
      <c r="H63" s="2">
        <v>93</v>
      </c>
      <c r="I63" s="2">
        <v>88</v>
      </c>
      <c r="J63" s="2">
        <v>88</v>
      </c>
      <c r="K63" s="2">
        <v>84</v>
      </c>
      <c r="L63" s="2">
        <v>91</v>
      </c>
      <c r="M63" s="2" t="s">
        <v>19</v>
      </c>
      <c r="N63" s="2" t="s">
        <v>19</v>
      </c>
      <c r="O63" s="2">
        <v>444</v>
      </c>
      <c r="P63" s="2">
        <v>88.8</v>
      </c>
      <c r="Q63" s="2"/>
      <c r="R63" s="2"/>
      <c r="S63" s="2"/>
    </row>
    <row r="64" spans="1:19" x14ac:dyDescent="0.25">
      <c r="A64" s="1">
        <v>32</v>
      </c>
      <c r="B64" s="2" t="s">
        <v>75</v>
      </c>
      <c r="C64" s="2">
        <v>7</v>
      </c>
      <c r="D64" s="2" t="s">
        <v>42</v>
      </c>
      <c r="E64" s="40" t="s">
        <v>450</v>
      </c>
      <c r="F64" s="2"/>
      <c r="G64" s="2" t="s">
        <v>16</v>
      </c>
      <c r="H64" s="2">
        <v>82</v>
      </c>
      <c r="I64" s="2">
        <v>77</v>
      </c>
      <c r="J64" s="2">
        <v>88.2</v>
      </c>
      <c r="K64" s="2">
        <v>88</v>
      </c>
      <c r="L64" s="2">
        <v>86</v>
      </c>
      <c r="M64" s="2" t="s">
        <v>20</v>
      </c>
      <c r="N64" s="2" t="s">
        <v>21</v>
      </c>
      <c r="O64" s="2">
        <v>416</v>
      </c>
      <c r="P64" s="2">
        <v>83.2</v>
      </c>
      <c r="Q64" s="2"/>
      <c r="R64" s="2" t="s">
        <v>20</v>
      </c>
      <c r="S64" s="2"/>
    </row>
    <row r="65" spans="1:19" x14ac:dyDescent="0.25">
      <c r="A65" s="1"/>
      <c r="B65" s="2"/>
      <c r="C65" s="2"/>
      <c r="D65" s="2"/>
      <c r="E65" s="2"/>
      <c r="F65" s="2"/>
      <c r="G65" s="2" t="s">
        <v>17</v>
      </c>
      <c r="H65" s="2">
        <v>74</v>
      </c>
      <c r="I65" s="2">
        <v>80</v>
      </c>
      <c r="J65" s="2">
        <v>80</v>
      </c>
      <c r="K65" s="2">
        <v>80</v>
      </c>
      <c r="L65" s="2">
        <v>82</v>
      </c>
      <c r="M65" s="2" t="s">
        <v>20</v>
      </c>
      <c r="N65" s="2" t="s">
        <v>19</v>
      </c>
      <c r="O65" s="2">
        <v>396</v>
      </c>
      <c r="P65" s="2">
        <v>79.2</v>
      </c>
      <c r="Q65" s="2"/>
      <c r="R65" s="2"/>
      <c r="S65" s="2"/>
    </row>
    <row r="66" spans="1:19" x14ac:dyDescent="0.25">
      <c r="A66" s="1">
        <v>33</v>
      </c>
      <c r="B66" s="2" t="s">
        <v>76</v>
      </c>
      <c r="C66" s="2">
        <v>7</v>
      </c>
      <c r="D66" s="2" t="s">
        <v>42</v>
      </c>
      <c r="E66" s="40" t="s">
        <v>451</v>
      </c>
      <c r="F66" s="2"/>
      <c r="G66" s="2" t="s">
        <v>16</v>
      </c>
      <c r="H66" s="2">
        <v>86</v>
      </c>
      <c r="I66" s="2">
        <v>79</v>
      </c>
      <c r="J66" s="2">
        <v>87</v>
      </c>
      <c r="K66" s="2">
        <v>97</v>
      </c>
      <c r="L66" s="2">
        <v>89</v>
      </c>
      <c r="M66" s="2" t="s">
        <v>20</v>
      </c>
      <c r="N66" s="2" t="s">
        <v>19</v>
      </c>
      <c r="O66" s="2">
        <v>438</v>
      </c>
      <c r="P66" s="2">
        <v>87.6</v>
      </c>
      <c r="Q66" s="2"/>
      <c r="R66" s="2" t="s">
        <v>19</v>
      </c>
      <c r="S66" s="2"/>
    </row>
    <row r="67" spans="1:19" x14ac:dyDescent="0.25">
      <c r="A67" s="1"/>
      <c r="B67" s="2"/>
      <c r="C67" s="2"/>
      <c r="D67" s="2"/>
      <c r="E67" s="2"/>
      <c r="F67" s="2"/>
      <c r="G67" s="2" t="s">
        <v>17</v>
      </c>
      <c r="H67" s="2">
        <v>91</v>
      </c>
      <c r="I67" s="2">
        <v>79</v>
      </c>
      <c r="J67" s="2">
        <v>75</v>
      </c>
      <c r="K67" s="2">
        <v>82</v>
      </c>
      <c r="L67" s="2">
        <v>86</v>
      </c>
      <c r="M67" s="2" t="s">
        <v>19</v>
      </c>
      <c r="N67" s="2" t="s">
        <v>19</v>
      </c>
      <c r="O67" s="2">
        <v>413</v>
      </c>
      <c r="P67" s="2">
        <v>82.6</v>
      </c>
      <c r="Q67" s="2"/>
      <c r="R67" s="2"/>
      <c r="S67" s="2"/>
    </row>
    <row r="68" spans="1:19" x14ac:dyDescent="0.25">
      <c r="A68" s="1">
        <v>34</v>
      </c>
      <c r="B68" s="2" t="s">
        <v>77</v>
      </c>
      <c r="C68" s="2">
        <v>6</v>
      </c>
      <c r="D68" s="2" t="s">
        <v>43</v>
      </c>
      <c r="E68" s="12" t="s">
        <v>702</v>
      </c>
      <c r="F68" s="2"/>
      <c r="G68" s="2" t="s">
        <v>16</v>
      </c>
      <c r="H68" s="2">
        <v>79</v>
      </c>
      <c r="I68" s="2">
        <v>63</v>
      </c>
      <c r="J68" s="2">
        <v>67</v>
      </c>
      <c r="K68" s="2">
        <v>90</v>
      </c>
      <c r="L68" s="2">
        <v>89</v>
      </c>
      <c r="M68" s="2" t="s">
        <v>19</v>
      </c>
      <c r="N68" s="2" t="s">
        <v>20</v>
      </c>
      <c r="O68" s="2">
        <v>388</v>
      </c>
      <c r="P68" s="2">
        <v>77.599999999999994</v>
      </c>
      <c r="Q68" s="2"/>
      <c r="R68" s="2" t="s">
        <v>20</v>
      </c>
      <c r="S68" s="2"/>
    </row>
    <row r="69" spans="1:19" x14ac:dyDescent="0.25">
      <c r="A69" s="1"/>
      <c r="B69" s="2"/>
      <c r="C69" s="2"/>
      <c r="D69" s="2"/>
      <c r="E69" s="2"/>
      <c r="F69" s="2"/>
      <c r="G69" s="2" t="s">
        <v>17</v>
      </c>
      <c r="H69" s="2">
        <v>79</v>
      </c>
      <c r="I69" s="2">
        <v>69</v>
      </c>
      <c r="J69" s="2">
        <v>54</v>
      </c>
      <c r="K69" s="2">
        <v>79</v>
      </c>
      <c r="L69" s="2">
        <v>87</v>
      </c>
      <c r="M69" s="2" t="s">
        <v>19</v>
      </c>
      <c r="N69" s="2" t="s">
        <v>21</v>
      </c>
      <c r="O69" s="2">
        <v>368</v>
      </c>
      <c r="P69" s="2">
        <v>73.599999999999994</v>
      </c>
      <c r="Q69" s="2"/>
      <c r="R69" s="2"/>
      <c r="S69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T45"/>
  <sheetViews>
    <sheetView zoomScale="85" zoomScaleNormal="85" zoomScalePageLayoutView="85" workbookViewId="0">
      <selection activeCell="B1" sqref="B1"/>
    </sheetView>
  </sheetViews>
  <sheetFormatPr defaultColWidth="11.125" defaultRowHeight="15.75" x14ac:dyDescent="0.25"/>
  <cols>
    <col min="1" max="1" width="7.5" customWidth="1"/>
    <col min="2" max="2" width="25.625" customWidth="1"/>
    <col min="3" max="3" width="4" bestFit="1" customWidth="1"/>
    <col min="4" max="4" width="8.5" customWidth="1"/>
    <col min="5" max="5" width="10.625" bestFit="1" customWidth="1"/>
    <col min="6" max="6" width="8.5" customWidth="1"/>
  </cols>
  <sheetData>
    <row r="1" spans="1:20" ht="132.75" x14ac:dyDescent="0.25">
      <c r="A1" s="5" t="s">
        <v>0</v>
      </c>
      <c r="B1" s="6" t="s">
        <v>4</v>
      </c>
      <c r="C1" s="6" t="s">
        <v>3</v>
      </c>
      <c r="D1" s="6" t="s">
        <v>2</v>
      </c>
      <c r="E1" s="6" t="s">
        <v>383</v>
      </c>
      <c r="F1" s="6" t="s">
        <v>384</v>
      </c>
      <c r="G1" s="6" t="s">
        <v>385</v>
      </c>
      <c r="H1" s="6" t="s">
        <v>5</v>
      </c>
      <c r="I1" s="6" t="s">
        <v>6</v>
      </c>
      <c r="J1" s="6" t="s">
        <v>7</v>
      </c>
      <c r="K1" s="6" t="s">
        <v>736</v>
      </c>
      <c r="L1" s="6" t="s">
        <v>8</v>
      </c>
      <c r="M1" s="52" t="s">
        <v>735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7"/>
    </row>
    <row r="2" spans="1:20" x14ac:dyDescent="0.25">
      <c r="A2" s="1">
        <v>1</v>
      </c>
      <c r="B2" s="2" t="s">
        <v>78</v>
      </c>
      <c r="C2" s="2">
        <v>9</v>
      </c>
      <c r="D2" s="2" t="s">
        <v>42</v>
      </c>
      <c r="E2" s="47" t="s">
        <v>452</v>
      </c>
      <c r="F2" s="2"/>
      <c r="G2" s="2" t="s">
        <v>16</v>
      </c>
      <c r="H2" s="2">
        <v>88</v>
      </c>
      <c r="I2" s="2">
        <v>95</v>
      </c>
      <c r="J2" s="2">
        <v>98</v>
      </c>
      <c r="K2" s="2">
        <v>98</v>
      </c>
      <c r="L2" s="2">
        <v>97</v>
      </c>
      <c r="M2" s="2" t="s">
        <v>20</v>
      </c>
      <c r="N2" s="2" t="s">
        <v>23</v>
      </c>
      <c r="O2" s="2">
        <v>476</v>
      </c>
      <c r="P2" s="2">
        <v>95.2</v>
      </c>
      <c r="Q2" s="2">
        <v>2</v>
      </c>
      <c r="R2" s="2" t="s">
        <v>20</v>
      </c>
      <c r="S2" s="2"/>
    </row>
    <row r="3" spans="1:20" x14ac:dyDescent="0.25">
      <c r="A3" s="1"/>
      <c r="B3" s="2"/>
      <c r="C3" s="2"/>
      <c r="D3" s="2"/>
      <c r="E3" s="2"/>
      <c r="F3" s="2"/>
      <c r="G3" s="2" t="s">
        <v>17</v>
      </c>
      <c r="H3" s="2">
        <v>98</v>
      </c>
      <c r="I3" s="2">
        <v>100</v>
      </c>
      <c r="J3" s="2">
        <v>95</v>
      </c>
      <c r="K3" s="2">
        <v>100</v>
      </c>
      <c r="L3" s="2">
        <v>97</v>
      </c>
      <c r="M3" s="2" t="s">
        <v>20</v>
      </c>
      <c r="N3" s="2" t="s">
        <v>20</v>
      </c>
      <c r="O3" s="2">
        <v>490</v>
      </c>
      <c r="P3" s="2">
        <v>98</v>
      </c>
      <c r="Q3" s="2">
        <v>2</v>
      </c>
      <c r="R3" s="2" t="s">
        <v>20</v>
      </c>
      <c r="S3" s="2"/>
    </row>
    <row r="4" spans="1:20" x14ac:dyDescent="0.25">
      <c r="A4" s="1">
        <v>2</v>
      </c>
      <c r="B4" s="9" t="s">
        <v>79</v>
      </c>
      <c r="C4" s="2">
        <v>9</v>
      </c>
      <c r="D4" s="2" t="s">
        <v>42</v>
      </c>
      <c r="E4" s="40" t="s">
        <v>453</v>
      </c>
      <c r="F4" s="2"/>
      <c r="G4" s="2" t="s">
        <v>16</v>
      </c>
      <c r="H4" s="2">
        <v>78</v>
      </c>
      <c r="I4" s="2">
        <v>84</v>
      </c>
      <c r="J4" s="2">
        <v>76</v>
      </c>
      <c r="K4" s="2">
        <v>86</v>
      </c>
      <c r="L4" s="2">
        <v>73</v>
      </c>
      <c r="M4" s="2" t="s">
        <v>19</v>
      </c>
      <c r="N4" s="2" t="s">
        <v>19</v>
      </c>
      <c r="O4" s="2">
        <v>397</v>
      </c>
      <c r="P4" s="2">
        <v>79.400000000000006</v>
      </c>
      <c r="Q4" s="2"/>
      <c r="R4" s="2" t="s">
        <v>20</v>
      </c>
      <c r="S4" s="2"/>
    </row>
    <row r="5" spans="1:20" x14ac:dyDescent="0.25">
      <c r="A5" s="1"/>
      <c r="B5" s="2"/>
      <c r="C5" s="2"/>
      <c r="D5" s="2"/>
      <c r="E5" s="2"/>
      <c r="F5" s="2"/>
      <c r="G5" s="2" t="s">
        <v>17</v>
      </c>
      <c r="H5" s="2">
        <v>79</v>
      </c>
      <c r="I5" s="2">
        <v>99</v>
      </c>
      <c r="J5" s="2">
        <v>89</v>
      </c>
      <c r="K5" s="2">
        <v>79</v>
      </c>
      <c r="L5" s="2">
        <v>74</v>
      </c>
      <c r="M5" s="2" t="s">
        <v>19</v>
      </c>
      <c r="N5" s="2" t="s">
        <v>19</v>
      </c>
      <c r="O5" s="2">
        <v>420</v>
      </c>
      <c r="P5" s="2">
        <v>84</v>
      </c>
      <c r="Q5" s="2">
        <v>14</v>
      </c>
      <c r="R5" s="2" t="s">
        <v>20</v>
      </c>
      <c r="S5" s="2"/>
    </row>
    <row r="6" spans="1:20" x14ac:dyDescent="0.25">
      <c r="A6" s="1">
        <v>3</v>
      </c>
      <c r="B6" s="2" t="s">
        <v>80</v>
      </c>
      <c r="C6" s="2">
        <v>7</v>
      </c>
      <c r="D6" s="2" t="s">
        <v>43</v>
      </c>
      <c r="E6" s="40" t="s">
        <v>454</v>
      </c>
      <c r="F6" s="2"/>
      <c r="G6" s="2" t="s">
        <v>16</v>
      </c>
      <c r="H6" s="2">
        <v>69</v>
      </c>
      <c r="I6" s="2">
        <v>82</v>
      </c>
      <c r="J6" s="2">
        <v>85</v>
      </c>
      <c r="K6" s="2">
        <v>93</v>
      </c>
      <c r="L6" s="2">
        <v>82</v>
      </c>
      <c r="M6" s="2" t="s">
        <v>20</v>
      </c>
      <c r="N6" s="2" t="s">
        <v>19</v>
      </c>
      <c r="O6" s="2">
        <v>411</v>
      </c>
      <c r="P6" s="2">
        <v>82.2</v>
      </c>
      <c r="Q6" s="2">
        <v>11</v>
      </c>
      <c r="R6" s="2" t="s">
        <v>20</v>
      </c>
      <c r="S6" s="2"/>
    </row>
    <row r="7" spans="1:20" x14ac:dyDescent="0.25">
      <c r="A7" s="1"/>
      <c r="B7" s="2"/>
      <c r="C7" s="2"/>
      <c r="D7" s="2"/>
      <c r="E7" s="2"/>
      <c r="F7" s="2"/>
      <c r="G7" s="2" t="s">
        <v>17</v>
      </c>
      <c r="H7" s="2">
        <v>81</v>
      </c>
      <c r="I7" s="2">
        <v>92</v>
      </c>
      <c r="J7" s="2">
        <v>87</v>
      </c>
      <c r="K7" s="2">
        <v>99</v>
      </c>
      <c r="L7" s="2">
        <v>83</v>
      </c>
      <c r="M7" s="2" t="s">
        <v>20</v>
      </c>
      <c r="N7" s="2" t="s">
        <v>20</v>
      </c>
      <c r="O7" s="2">
        <v>442</v>
      </c>
      <c r="P7" s="2">
        <v>88.4</v>
      </c>
      <c r="Q7" s="2"/>
      <c r="R7" s="2"/>
      <c r="S7" s="2"/>
    </row>
    <row r="8" spans="1:20" x14ac:dyDescent="0.25">
      <c r="A8" s="1">
        <v>4</v>
      </c>
      <c r="B8" s="2" t="s">
        <v>81</v>
      </c>
      <c r="C8" s="2">
        <v>8</v>
      </c>
      <c r="D8" s="2" t="s">
        <v>43</v>
      </c>
      <c r="E8" s="40" t="s">
        <v>455</v>
      </c>
      <c r="F8" s="2"/>
      <c r="G8" s="2" t="s">
        <v>16</v>
      </c>
      <c r="H8" s="2">
        <v>70</v>
      </c>
      <c r="I8" s="2">
        <v>77</v>
      </c>
      <c r="J8" s="2">
        <v>81</v>
      </c>
      <c r="K8" s="2">
        <v>85</v>
      </c>
      <c r="L8" s="2">
        <v>81</v>
      </c>
      <c r="M8" s="2" t="s">
        <v>20</v>
      </c>
      <c r="N8" s="2" t="s">
        <v>21</v>
      </c>
      <c r="O8" s="2">
        <v>394</v>
      </c>
      <c r="P8" s="2">
        <v>78.8</v>
      </c>
      <c r="Q8" s="2"/>
      <c r="R8" s="2" t="s">
        <v>19</v>
      </c>
      <c r="S8" s="2"/>
    </row>
    <row r="9" spans="1:20" x14ac:dyDescent="0.25">
      <c r="A9" s="1"/>
      <c r="B9" s="2"/>
      <c r="C9" s="2"/>
      <c r="D9" s="2"/>
      <c r="E9" s="2"/>
      <c r="F9" s="2"/>
      <c r="G9" s="2" t="s">
        <v>17</v>
      </c>
      <c r="H9" s="2">
        <v>77</v>
      </c>
      <c r="I9" s="2">
        <v>84</v>
      </c>
      <c r="J9" s="2">
        <v>86</v>
      </c>
      <c r="K9" s="2">
        <v>66</v>
      </c>
      <c r="L9" s="2">
        <v>78</v>
      </c>
      <c r="M9" s="2" t="s">
        <v>19</v>
      </c>
      <c r="N9" s="2" t="s">
        <v>21</v>
      </c>
      <c r="O9" s="2">
        <v>391</v>
      </c>
      <c r="P9" s="2">
        <v>78.2</v>
      </c>
      <c r="Q9" s="2">
        <v>20</v>
      </c>
      <c r="R9" s="2" t="s">
        <v>19</v>
      </c>
      <c r="S9" s="2"/>
    </row>
    <row r="10" spans="1:20" x14ac:dyDescent="0.25">
      <c r="A10" s="1">
        <v>5</v>
      </c>
      <c r="B10" s="2" t="s">
        <v>82</v>
      </c>
      <c r="C10" s="2">
        <v>8</v>
      </c>
      <c r="D10" s="2" t="s">
        <v>43</v>
      </c>
      <c r="E10" s="2" t="s">
        <v>456</v>
      </c>
      <c r="F10" s="2"/>
      <c r="G10" s="2" t="s">
        <v>16</v>
      </c>
      <c r="H10" s="2">
        <v>85</v>
      </c>
      <c r="I10" s="2">
        <v>65</v>
      </c>
      <c r="J10" s="2">
        <v>78</v>
      </c>
      <c r="K10" s="2">
        <v>89</v>
      </c>
      <c r="L10" s="2">
        <v>78</v>
      </c>
      <c r="M10" s="2" t="s">
        <v>19</v>
      </c>
      <c r="N10" s="2" t="s">
        <v>21</v>
      </c>
      <c r="O10" s="2">
        <v>395</v>
      </c>
      <c r="P10" s="2">
        <v>79</v>
      </c>
      <c r="Q10" s="2"/>
      <c r="R10" s="2" t="s">
        <v>20</v>
      </c>
      <c r="S10" s="2"/>
    </row>
    <row r="11" spans="1:20" x14ac:dyDescent="0.25">
      <c r="A11" s="1"/>
      <c r="B11" s="2"/>
      <c r="C11" s="2"/>
      <c r="D11" s="2"/>
      <c r="E11" s="2"/>
      <c r="F11" s="2"/>
      <c r="G11" s="2" t="s">
        <v>17</v>
      </c>
      <c r="H11" s="2">
        <v>87</v>
      </c>
      <c r="I11" s="2">
        <v>79</v>
      </c>
      <c r="J11" s="2">
        <v>86</v>
      </c>
      <c r="K11" s="2">
        <v>84</v>
      </c>
      <c r="L11" s="2">
        <v>77</v>
      </c>
      <c r="M11" s="2" t="s">
        <v>19</v>
      </c>
      <c r="N11" s="2" t="s">
        <v>20</v>
      </c>
      <c r="O11" s="2">
        <v>413</v>
      </c>
      <c r="P11" s="2">
        <v>82.6</v>
      </c>
      <c r="Q11" s="2">
        <v>15</v>
      </c>
      <c r="R11" s="2" t="s">
        <v>20</v>
      </c>
      <c r="S11" s="2"/>
    </row>
    <row r="12" spans="1:20" x14ac:dyDescent="0.25">
      <c r="A12" s="1">
        <v>6</v>
      </c>
      <c r="B12" s="9" t="s">
        <v>83</v>
      </c>
      <c r="C12" s="2">
        <v>8</v>
      </c>
      <c r="D12" s="2" t="s">
        <v>43</v>
      </c>
      <c r="E12" s="40" t="s">
        <v>457</v>
      </c>
      <c r="F12" s="2"/>
      <c r="G12" s="2" t="s">
        <v>16</v>
      </c>
      <c r="H12" s="2">
        <v>87</v>
      </c>
      <c r="I12" s="2">
        <v>73</v>
      </c>
      <c r="J12" s="2">
        <v>93</v>
      </c>
      <c r="K12" s="2">
        <v>63</v>
      </c>
      <c r="L12" s="2">
        <v>88</v>
      </c>
      <c r="M12" s="2" t="s">
        <v>19</v>
      </c>
      <c r="N12" s="2" t="s">
        <v>21</v>
      </c>
      <c r="O12" s="2">
        <v>404</v>
      </c>
      <c r="P12" s="2">
        <v>80.8</v>
      </c>
      <c r="Q12" s="2"/>
      <c r="R12" s="2" t="s">
        <v>19</v>
      </c>
      <c r="S12" s="2"/>
    </row>
    <row r="13" spans="1:20" x14ac:dyDescent="0.25">
      <c r="A13" s="1"/>
      <c r="B13" s="2"/>
      <c r="C13" s="2"/>
      <c r="D13" s="2"/>
      <c r="E13" s="2"/>
      <c r="F13" s="2"/>
      <c r="G13" s="2" t="s">
        <v>17</v>
      </c>
      <c r="H13" s="2">
        <v>98</v>
      </c>
      <c r="I13" s="2">
        <v>75</v>
      </c>
      <c r="J13" s="2">
        <v>94</v>
      </c>
      <c r="K13" s="2">
        <v>63</v>
      </c>
      <c r="L13" s="2">
        <v>70</v>
      </c>
      <c r="M13" s="2" t="s">
        <v>20</v>
      </c>
      <c r="N13" s="2" t="s">
        <v>20</v>
      </c>
      <c r="O13" s="2">
        <v>400</v>
      </c>
      <c r="P13" s="2">
        <v>80</v>
      </c>
      <c r="Q13" s="2">
        <v>19</v>
      </c>
      <c r="R13" s="2" t="s">
        <v>19</v>
      </c>
      <c r="S13" s="2"/>
    </row>
    <row r="14" spans="1:20" x14ac:dyDescent="0.25">
      <c r="A14" s="1">
        <v>7</v>
      </c>
      <c r="B14" s="2" t="s">
        <v>84</v>
      </c>
      <c r="C14" s="2">
        <v>8</v>
      </c>
      <c r="D14" s="2" t="s">
        <v>42</v>
      </c>
      <c r="E14" s="40" t="s">
        <v>458</v>
      </c>
      <c r="F14" s="2"/>
      <c r="G14" s="2" t="s">
        <v>16</v>
      </c>
      <c r="H14" s="2">
        <v>76</v>
      </c>
      <c r="I14" s="2">
        <v>82</v>
      </c>
      <c r="J14" s="2">
        <v>88</v>
      </c>
      <c r="K14" s="2">
        <v>92</v>
      </c>
      <c r="L14" s="2">
        <v>94</v>
      </c>
      <c r="M14" s="2" t="s">
        <v>20</v>
      </c>
      <c r="N14" s="2" t="s">
        <v>19</v>
      </c>
      <c r="O14" s="2">
        <v>432</v>
      </c>
      <c r="P14" s="2">
        <v>86.4</v>
      </c>
      <c r="Q14" s="2"/>
      <c r="R14" s="2" t="s">
        <v>20</v>
      </c>
      <c r="S14" s="2"/>
    </row>
    <row r="15" spans="1:20" x14ac:dyDescent="0.25">
      <c r="A15" s="1"/>
      <c r="B15" s="2"/>
      <c r="C15" s="2"/>
      <c r="D15" s="2"/>
      <c r="E15" s="2"/>
      <c r="F15" s="2"/>
      <c r="G15" s="2" t="s">
        <v>17</v>
      </c>
      <c r="H15" s="2">
        <v>86</v>
      </c>
      <c r="I15" s="2">
        <v>87</v>
      </c>
      <c r="J15" s="2">
        <v>98</v>
      </c>
      <c r="K15" s="2">
        <v>96</v>
      </c>
      <c r="L15" s="2">
        <v>84</v>
      </c>
      <c r="M15" s="2" t="s">
        <v>20</v>
      </c>
      <c r="N15" s="2" t="s">
        <v>19</v>
      </c>
      <c r="O15" s="2">
        <v>451</v>
      </c>
      <c r="P15" s="2">
        <v>90.2</v>
      </c>
      <c r="Q15" s="2">
        <v>10</v>
      </c>
      <c r="R15" s="2" t="s">
        <v>20</v>
      </c>
      <c r="S15" s="2"/>
    </row>
    <row r="16" spans="1:20" x14ac:dyDescent="0.25">
      <c r="A16" s="1">
        <v>8</v>
      </c>
      <c r="B16" s="9" t="s">
        <v>85</v>
      </c>
      <c r="C16" s="2">
        <v>9</v>
      </c>
      <c r="D16" s="2" t="s">
        <v>42</v>
      </c>
      <c r="E16" s="40" t="s">
        <v>459</v>
      </c>
      <c r="F16" s="2"/>
      <c r="G16" s="2" t="s">
        <v>16</v>
      </c>
      <c r="H16" s="2">
        <v>80</v>
      </c>
      <c r="I16" s="2">
        <v>84</v>
      </c>
      <c r="J16" s="2">
        <v>83</v>
      </c>
      <c r="K16" s="2">
        <v>95</v>
      </c>
      <c r="L16" s="2">
        <v>88</v>
      </c>
      <c r="M16" s="2" t="s">
        <v>20</v>
      </c>
      <c r="N16" s="2" t="s">
        <v>19</v>
      </c>
      <c r="O16" s="2">
        <v>430</v>
      </c>
      <c r="P16" s="2">
        <v>86</v>
      </c>
      <c r="Q16" s="2"/>
      <c r="R16" s="2" t="s">
        <v>20</v>
      </c>
      <c r="S16" s="2"/>
    </row>
    <row r="17" spans="1:19" x14ac:dyDescent="0.25">
      <c r="A17" s="1"/>
      <c r="B17" s="2"/>
      <c r="C17" s="2"/>
      <c r="D17" s="2"/>
      <c r="E17" s="2"/>
      <c r="F17" s="2"/>
      <c r="G17" s="2" t="s">
        <v>17</v>
      </c>
      <c r="H17" s="2">
        <v>91</v>
      </c>
      <c r="I17" s="2">
        <v>91</v>
      </c>
      <c r="J17" s="2">
        <v>87</v>
      </c>
      <c r="K17" s="2">
        <v>100</v>
      </c>
      <c r="L17" s="2">
        <v>85</v>
      </c>
      <c r="M17" s="2" t="s">
        <v>19</v>
      </c>
      <c r="N17" s="2" t="s">
        <v>19</v>
      </c>
      <c r="O17" s="2">
        <v>454</v>
      </c>
      <c r="P17" s="2">
        <v>90.8</v>
      </c>
      <c r="Q17" s="2">
        <v>8</v>
      </c>
      <c r="R17" s="2" t="s">
        <v>20</v>
      </c>
      <c r="S17" s="2"/>
    </row>
    <row r="18" spans="1:19" x14ac:dyDescent="0.25">
      <c r="A18" s="1">
        <v>9</v>
      </c>
      <c r="B18" s="2" t="s">
        <v>86</v>
      </c>
      <c r="C18" s="2">
        <v>8</v>
      </c>
      <c r="D18" s="2" t="s">
        <v>43</v>
      </c>
      <c r="E18" s="40" t="s">
        <v>460</v>
      </c>
      <c r="F18" s="2"/>
      <c r="G18" s="2" t="s">
        <v>16</v>
      </c>
      <c r="H18" s="2">
        <v>74</v>
      </c>
      <c r="I18" s="2">
        <v>74</v>
      </c>
      <c r="J18" s="2">
        <v>74</v>
      </c>
      <c r="K18" s="2">
        <v>93</v>
      </c>
      <c r="L18" s="2">
        <v>81</v>
      </c>
      <c r="M18" s="2" t="s">
        <v>20</v>
      </c>
      <c r="N18" s="2" t="s">
        <v>19</v>
      </c>
      <c r="O18" s="2">
        <v>396</v>
      </c>
      <c r="P18" s="2">
        <v>79.2</v>
      </c>
      <c r="Q18" s="2"/>
      <c r="R18" s="2" t="s">
        <v>19</v>
      </c>
      <c r="S18" s="2"/>
    </row>
    <row r="19" spans="1:19" ht="18" x14ac:dyDescent="0.25">
      <c r="A19" s="1"/>
      <c r="B19" s="2"/>
      <c r="C19" s="2"/>
      <c r="D19" s="2"/>
      <c r="E19" s="2"/>
      <c r="F19" s="2"/>
      <c r="G19" s="2" t="s">
        <v>17</v>
      </c>
      <c r="H19" s="2">
        <v>74</v>
      </c>
      <c r="I19" s="2">
        <v>84</v>
      </c>
      <c r="J19" s="2">
        <v>90</v>
      </c>
      <c r="K19" s="2">
        <v>69</v>
      </c>
      <c r="L19" s="2">
        <v>69</v>
      </c>
      <c r="M19" s="2" t="s">
        <v>20</v>
      </c>
      <c r="N19" s="2" t="s">
        <v>20</v>
      </c>
      <c r="O19" s="2">
        <v>386</v>
      </c>
      <c r="P19" s="2">
        <v>77.2</v>
      </c>
      <c r="Q19" s="2">
        <v>21</v>
      </c>
      <c r="R19" s="2" t="s">
        <v>328</v>
      </c>
      <c r="S19" s="2"/>
    </row>
    <row r="20" spans="1:19" x14ac:dyDescent="0.25">
      <c r="A20" s="1">
        <v>10</v>
      </c>
      <c r="B20" s="2" t="s">
        <v>87</v>
      </c>
      <c r="C20" s="2">
        <v>8</v>
      </c>
      <c r="D20" s="2" t="s">
        <v>43</v>
      </c>
      <c r="E20" s="41" t="s">
        <v>461</v>
      </c>
      <c r="F20" s="2"/>
      <c r="G20" s="2" t="s">
        <v>16</v>
      </c>
      <c r="H20" s="2">
        <v>90</v>
      </c>
      <c r="I20" s="2">
        <v>94</v>
      </c>
      <c r="J20" s="2">
        <v>98</v>
      </c>
      <c r="K20" s="2">
        <v>97</v>
      </c>
      <c r="L20" s="2">
        <v>98</v>
      </c>
      <c r="M20" s="2" t="s">
        <v>20</v>
      </c>
      <c r="N20" s="2" t="s">
        <v>19</v>
      </c>
      <c r="O20" s="2">
        <v>477</v>
      </c>
      <c r="P20" s="2">
        <v>95.4</v>
      </c>
      <c r="Q20" s="2">
        <v>1</v>
      </c>
      <c r="R20" s="2" t="s">
        <v>20</v>
      </c>
      <c r="S20" s="2"/>
    </row>
    <row r="21" spans="1:19" x14ac:dyDescent="0.25">
      <c r="A21" s="1"/>
      <c r="B21" s="2"/>
      <c r="C21" s="2"/>
      <c r="D21" s="2"/>
      <c r="E21" s="2"/>
      <c r="F21" s="2"/>
      <c r="G21" s="2" t="s">
        <v>17</v>
      </c>
      <c r="H21" s="2">
        <v>93</v>
      </c>
      <c r="I21" s="2">
        <v>100</v>
      </c>
      <c r="J21" s="2">
        <v>99</v>
      </c>
      <c r="K21" s="2">
        <v>100</v>
      </c>
      <c r="L21" s="2">
        <v>96</v>
      </c>
      <c r="M21" s="2" t="s">
        <v>19</v>
      </c>
      <c r="N21" s="2" t="s">
        <v>20</v>
      </c>
      <c r="O21" s="2">
        <v>488</v>
      </c>
      <c r="P21" s="2">
        <v>97.6</v>
      </c>
      <c r="Q21" s="2">
        <v>3</v>
      </c>
      <c r="R21" s="2" t="s">
        <v>20</v>
      </c>
      <c r="S21" s="2"/>
    </row>
    <row r="22" spans="1:19" x14ac:dyDescent="0.25">
      <c r="A22" s="1">
        <v>11</v>
      </c>
      <c r="B22" s="2" t="s">
        <v>88</v>
      </c>
      <c r="C22" s="2">
        <v>7</v>
      </c>
      <c r="D22" s="2" t="s">
        <v>43</v>
      </c>
      <c r="E22" s="40" t="s">
        <v>462</v>
      </c>
      <c r="F22" s="2"/>
      <c r="G22" s="2" t="s">
        <v>16</v>
      </c>
      <c r="H22" s="2">
        <v>71</v>
      </c>
      <c r="I22" s="2">
        <v>69</v>
      </c>
      <c r="J22" s="2">
        <v>61</v>
      </c>
      <c r="K22" s="2">
        <v>77</v>
      </c>
      <c r="L22" s="2">
        <v>66</v>
      </c>
      <c r="M22" s="2" t="s">
        <v>20</v>
      </c>
      <c r="N22" s="2" t="s">
        <v>21</v>
      </c>
      <c r="O22" s="2">
        <v>344</v>
      </c>
      <c r="P22" s="2">
        <v>68.8</v>
      </c>
      <c r="Q22" s="2"/>
      <c r="R22" s="2" t="s">
        <v>20</v>
      </c>
      <c r="S22" s="2"/>
    </row>
    <row r="23" spans="1:19" x14ac:dyDescent="0.25">
      <c r="A23" s="1"/>
      <c r="B23" s="2"/>
      <c r="C23" s="2"/>
      <c r="D23" s="2"/>
      <c r="E23" s="2"/>
      <c r="F23" s="2"/>
      <c r="G23" s="2" t="s">
        <v>17</v>
      </c>
      <c r="H23" s="2">
        <v>79</v>
      </c>
      <c r="I23" s="2">
        <v>61</v>
      </c>
      <c r="J23" s="2">
        <v>68</v>
      </c>
      <c r="K23" s="2">
        <v>69</v>
      </c>
      <c r="L23" s="2">
        <v>65</v>
      </c>
      <c r="M23" s="2" t="s">
        <v>19</v>
      </c>
      <c r="N23" s="2" t="s">
        <v>19</v>
      </c>
      <c r="O23" s="2">
        <v>342</v>
      </c>
      <c r="P23" s="2">
        <v>68.400000000000006</v>
      </c>
      <c r="Q23" s="2"/>
      <c r="R23" s="2" t="s">
        <v>20</v>
      </c>
      <c r="S23" s="2"/>
    </row>
    <row r="24" spans="1:19" x14ac:dyDescent="0.25">
      <c r="A24" s="1">
        <v>12</v>
      </c>
      <c r="B24" s="2" t="s">
        <v>89</v>
      </c>
      <c r="C24" s="2">
        <v>8</v>
      </c>
      <c r="D24" s="2" t="s">
        <v>42</v>
      </c>
      <c r="E24" s="40" t="s">
        <v>463</v>
      </c>
      <c r="F24" s="2"/>
      <c r="G24" s="2" t="s">
        <v>16</v>
      </c>
      <c r="H24" s="2">
        <v>66</v>
      </c>
      <c r="I24" s="2">
        <v>81</v>
      </c>
      <c r="J24" s="2">
        <v>91</v>
      </c>
      <c r="K24" s="2">
        <v>97</v>
      </c>
      <c r="L24" s="2">
        <v>91</v>
      </c>
      <c r="M24" s="2" t="s">
        <v>20</v>
      </c>
      <c r="N24" s="2" t="s">
        <v>19</v>
      </c>
      <c r="O24" s="2">
        <v>426</v>
      </c>
      <c r="P24" s="2">
        <v>85.2</v>
      </c>
      <c r="Q24" s="2"/>
      <c r="R24" s="2" t="s">
        <v>20</v>
      </c>
      <c r="S24" s="2"/>
    </row>
    <row r="25" spans="1:19" x14ac:dyDescent="0.25">
      <c r="A25" s="1"/>
      <c r="B25" s="2"/>
      <c r="C25" s="2"/>
      <c r="D25" s="2"/>
      <c r="E25" s="2"/>
      <c r="F25" s="2"/>
      <c r="G25" s="2" t="s">
        <v>17</v>
      </c>
      <c r="H25" s="2">
        <v>83</v>
      </c>
      <c r="I25" s="2">
        <v>90</v>
      </c>
      <c r="J25" s="2">
        <v>85</v>
      </c>
      <c r="K25" s="2">
        <v>87</v>
      </c>
      <c r="L25" s="2">
        <v>77</v>
      </c>
      <c r="M25" s="2" t="s">
        <v>20</v>
      </c>
      <c r="N25" s="2" t="s">
        <v>19</v>
      </c>
      <c r="O25" s="2">
        <v>422</v>
      </c>
      <c r="P25" s="2">
        <v>84.4</v>
      </c>
      <c r="Q25" s="2">
        <v>13</v>
      </c>
      <c r="R25" s="2" t="s">
        <v>20</v>
      </c>
      <c r="S25" s="2"/>
    </row>
    <row r="26" spans="1:19" x14ac:dyDescent="0.25">
      <c r="A26" s="1">
        <v>13</v>
      </c>
      <c r="B26" s="2" t="s">
        <v>90</v>
      </c>
      <c r="C26" s="2">
        <v>8</v>
      </c>
      <c r="D26" s="2" t="s">
        <v>42</v>
      </c>
      <c r="E26" s="40" t="s">
        <v>464</v>
      </c>
      <c r="F26" s="2"/>
      <c r="G26" s="2" t="s">
        <v>16</v>
      </c>
      <c r="H26" s="2">
        <v>88</v>
      </c>
      <c r="I26" s="2">
        <v>96</v>
      </c>
      <c r="J26" s="2">
        <v>93</v>
      </c>
      <c r="K26" s="2">
        <v>98</v>
      </c>
      <c r="L26" s="2">
        <v>98</v>
      </c>
      <c r="M26" s="2" t="s">
        <v>20</v>
      </c>
      <c r="N26" s="2" t="s">
        <v>20</v>
      </c>
      <c r="O26" s="2">
        <v>473</v>
      </c>
      <c r="P26" s="2">
        <v>94.6</v>
      </c>
      <c r="Q26" s="2">
        <v>3</v>
      </c>
      <c r="R26" s="2" t="s">
        <v>20</v>
      </c>
      <c r="S26" s="2"/>
    </row>
    <row r="27" spans="1:19" x14ac:dyDescent="0.25">
      <c r="A27" s="1"/>
      <c r="B27" s="2"/>
      <c r="C27" s="2"/>
      <c r="D27" s="2"/>
      <c r="E27" s="2"/>
      <c r="F27" s="2"/>
      <c r="G27" s="2" t="s">
        <v>17</v>
      </c>
      <c r="H27" s="2">
        <v>100</v>
      </c>
      <c r="I27" s="2">
        <v>100</v>
      </c>
      <c r="J27" s="2">
        <v>95</v>
      </c>
      <c r="K27" s="2">
        <v>100</v>
      </c>
      <c r="L27" s="2">
        <v>97</v>
      </c>
      <c r="M27" s="2" t="s">
        <v>20</v>
      </c>
      <c r="N27" s="2" t="s">
        <v>20</v>
      </c>
      <c r="O27" s="2">
        <v>492</v>
      </c>
      <c r="P27" s="2">
        <v>98.4</v>
      </c>
      <c r="Q27" s="2">
        <v>1</v>
      </c>
      <c r="R27" s="2" t="s">
        <v>20</v>
      </c>
      <c r="S27" s="2"/>
    </row>
    <row r="28" spans="1:19" x14ac:dyDescent="0.25">
      <c r="A28" s="3">
        <v>14</v>
      </c>
      <c r="B28" s="4" t="s">
        <v>91</v>
      </c>
      <c r="C28" s="4">
        <v>8</v>
      </c>
      <c r="D28" s="4" t="s">
        <v>43</v>
      </c>
      <c r="E28" s="40" t="s">
        <v>465</v>
      </c>
      <c r="F28" s="4"/>
      <c r="G28" s="2" t="s">
        <v>16</v>
      </c>
      <c r="H28" s="4">
        <v>74</v>
      </c>
      <c r="I28" s="4">
        <v>82</v>
      </c>
      <c r="J28" s="4">
        <v>97</v>
      </c>
      <c r="K28" s="4">
        <v>99</v>
      </c>
      <c r="L28" s="4">
        <v>93</v>
      </c>
      <c r="M28" s="4" t="s">
        <v>20</v>
      </c>
      <c r="N28" s="4" t="s">
        <v>19</v>
      </c>
      <c r="O28" s="4">
        <v>445</v>
      </c>
      <c r="P28" s="4">
        <v>89</v>
      </c>
      <c r="Q28" s="4"/>
      <c r="R28" s="4" t="s">
        <v>92</v>
      </c>
      <c r="S28" s="4"/>
    </row>
    <row r="29" spans="1:19" ht="18" x14ac:dyDescent="0.25">
      <c r="A29" s="1"/>
      <c r="B29" s="2"/>
      <c r="C29" s="2"/>
      <c r="D29" s="2"/>
      <c r="E29" s="2"/>
      <c r="F29" s="2"/>
      <c r="G29" s="2" t="s">
        <v>17</v>
      </c>
      <c r="H29" s="2">
        <v>78</v>
      </c>
      <c r="I29" s="2">
        <v>74</v>
      </c>
      <c r="J29" s="2">
        <v>79</v>
      </c>
      <c r="K29" s="2">
        <v>99</v>
      </c>
      <c r="L29" s="2">
        <v>81</v>
      </c>
      <c r="M29" s="2" t="s">
        <v>20</v>
      </c>
      <c r="N29" s="2" t="s">
        <v>19</v>
      </c>
      <c r="O29" s="2">
        <v>411</v>
      </c>
      <c r="P29" s="2">
        <v>82.2</v>
      </c>
      <c r="Q29" s="2">
        <v>17</v>
      </c>
      <c r="R29" s="2" t="s">
        <v>328</v>
      </c>
      <c r="S29" s="2"/>
    </row>
    <row r="30" spans="1:19" x14ac:dyDescent="0.25">
      <c r="A30" s="1">
        <v>15</v>
      </c>
      <c r="B30" s="2" t="s">
        <v>93</v>
      </c>
      <c r="C30" s="2">
        <v>9</v>
      </c>
      <c r="D30" s="2" t="s">
        <v>42</v>
      </c>
      <c r="E30" s="41" t="s">
        <v>466</v>
      </c>
      <c r="F30" s="2"/>
      <c r="G30" s="2" t="s">
        <v>16</v>
      </c>
      <c r="H30" s="2">
        <v>85</v>
      </c>
      <c r="I30" s="2">
        <v>90</v>
      </c>
      <c r="J30" s="2">
        <v>93</v>
      </c>
      <c r="K30" s="2">
        <v>95</v>
      </c>
      <c r="L30" s="2">
        <v>90</v>
      </c>
      <c r="M30" s="2" t="s">
        <v>20</v>
      </c>
      <c r="N30" s="2" t="s">
        <v>19</v>
      </c>
      <c r="O30" s="2">
        <v>453</v>
      </c>
      <c r="P30" s="2">
        <v>90.6</v>
      </c>
      <c r="Q30" s="2"/>
      <c r="R30" s="2" t="s">
        <v>19</v>
      </c>
      <c r="S30" s="2"/>
    </row>
    <row r="31" spans="1:19" x14ac:dyDescent="0.25">
      <c r="A31" s="1"/>
      <c r="B31" s="2"/>
      <c r="C31" s="2"/>
      <c r="D31" s="2"/>
      <c r="E31" s="2"/>
      <c r="F31" s="2"/>
      <c r="G31" s="2" t="s">
        <v>17</v>
      </c>
      <c r="H31" s="2">
        <v>87</v>
      </c>
      <c r="I31" s="2">
        <v>96</v>
      </c>
      <c r="J31" s="2">
        <v>96</v>
      </c>
      <c r="K31" s="2">
        <v>100</v>
      </c>
      <c r="L31" s="2">
        <v>89</v>
      </c>
      <c r="M31" s="2" t="s">
        <v>19</v>
      </c>
      <c r="N31" s="2" t="s">
        <v>19</v>
      </c>
      <c r="O31" s="2">
        <v>468</v>
      </c>
      <c r="P31" s="2">
        <v>93.6</v>
      </c>
      <c r="Q31" s="2">
        <v>5</v>
      </c>
      <c r="R31" s="2" t="s">
        <v>20</v>
      </c>
      <c r="S31" s="2"/>
    </row>
    <row r="32" spans="1:19" x14ac:dyDescent="0.25">
      <c r="A32" s="1">
        <v>16</v>
      </c>
      <c r="B32" s="2" t="s">
        <v>94</v>
      </c>
      <c r="C32" s="2">
        <v>8</v>
      </c>
      <c r="D32" s="2" t="s">
        <v>43</v>
      </c>
      <c r="E32" s="41" t="s">
        <v>467</v>
      </c>
      <c r="F32" s="2"/>
      <c r="G32" s="2" t="s">
        <v>16</v>
      </c>
      <c r="H32" s="2">
        <v>76</v>
      </c>
      <c r="I32" s="2">
        <v>90</v>
      </c>
      <c r="J32" s="2">
        <v>94</v>
      </c>
      <c r="K32" s="2">
        <v>98</v>
      </c>
      <c r="L32" s="2">
        <v>94</v>
      </c>
      <c r="M32" s="2" t="s">
        <v>20</v>
      </c>
      <c r="N32" s="2" t="s">
        <v>21</v>
      </c>
      <c r="O32" s="2">
        <v>452</v>
      </c>
      <c r="P32" s="2">
        <v>90.4</v>
      </c>
      <c r="Q32" s="2"/>
      <c r="R32" s="2" t="s">
        <v>19</v>
      </c>
      <c r="S32" s="2"/>
    </row>
    <row r="33" spans="1:19" x14ac:dyDescent="0.25">
      <c r="A33" s="1"/>
      <c r="B33" s="2"/>
      <c r="C33" s="2"/>
      <c r="D33" s="2"/>
      <c r="E33" s="2"/>
      <c r="F33" s="2"/>
      <c r="G33" s="2" t="s">
        <v>17</v>
      </c>
      <c r="H33" s="2">
        <v>77</v>
      </c>
      <c r="I33" s="2">
        <v>99</v>
      </c>
      <c r="J33" s="2">
        <v>92</v>
      </c>
      <c r="K33" s="2">
        <v>100</v>
      </c>
      <c r="L33" s="2">
        <v>88</v>
      </c>
      <c r="M33" s="2" t="s">
        <v>20</v>
      </c>
      <c r="N33" s="2" t="s">
        <v>20</v>
      </c>
      <c r="O33" s="2">
        <v>456</v>
      </c>
      <c r="P33" s="2">
        <v>91.2</v>
      </c>
      <c r="Q33" s="2">
        <v>7</v>
      </c>
      <c r="R33" s="2" t="s">
        <v>20</v>
      </c>
      <c r="S33" s="2"/>
    </row>
    <row r="34" spans="1:19" x14ac:dyDescent="0.25">
      <c r="A34" s="1">
        <v>17</v>
      </c>
      <c r="B34" s="9" t="s">
        <v>95</v>
      </c>
      <c r="C34" s="2">
        <v>8</v>
      </c>
      <c r="D34" s="2" t="s">
        <v>42</v>
      </c>
      <c r="E34" s="41" t="s">
        <v>468</v>
      </c>
      <c r="F34" s="2"/>
      <c r="G34" s="2" t="s">
        <v>16</v>
      </c>
      <c r="H34" s="2">
        <v>79</v>
      </c>
      <c r="I34" s="2">
        <v>77</v>
      </c>
      <c r="J34" s="2">
        <v>93</v>
      </c>
      <c r="K34" s="2">
        <v>87</v>
      </c>
      <c r="L34" s="2">
        <v>88</v>
      </c>
      <c r="M34" s="2" t="s">
        <v>20</v>
      </c>
      <c r="N34" s="2" t="s">
        <v>21</v>
      </c>
      <c r="O34" s="2">
        <v>424</v>
      </c>
      <c r="P34" s="2">
        <v>84.8</v>
      </c>
      <c r="Q34" s="2"/>
      <c r="R34" s="2" t="s">
        <v>20</v>
      </c>
      <c r="S34" s="2"/>
    </row>
    <row r="35" spans="1:19" x14ac:dyDescent="0.25">
      <c r="A35" s="1"/>
      <c r="B35" s="2"/>
      <c r="C35" s="2"/>
      <c r="D35" s="2"/>
      <c r="E35" s="2"/>
      <c r="F35" s="2"/>
      <c r="G35" s="2" t="s">
        <v>17</v>
      </c>
      <c r="H35" s="2">
        <v>85</v>
      </c>
      <c r="I35" s="2">
        <v>94</v>
      </c>
      <c r="J35" s="2">
        <v>98</v>
      </c>
      <c r="K35" s="2">
        <v>94</v>
      </c>
      <c r="L35" s="2">
        <v>81</v>
      </c>
      <c r="M35" s="2" t="s">
        <v>20</v>
      </c>
      <c r="N35" s="2" t="s">
        <v>19</v>
      </c>
      <c r="O35" s="2">
        <v>452</v>
      </c>
      <c r="P35" s="2">
        <v>90.4</v>
      </c>
      <c r="Q35" s="2">
        <v>9</v>
      </c>
      <c r="R35" s="2" t="s">
        <v>20</v>
      </c>
      <c r="S35" s="2"/>
    </row>
    <row r="36" spans="1:19" x14ac:dyDescent="0.25">
      <c r="A36" s="1">
        <v>18</v>
      </c>
      <c r="B36" s="2" t="s">
        <v>96</v>
      </c>
      <c r="C36" s="2">
        <v>7</v>
      </c>
      <c r="D36" s="2" t="s">
        <v>43</v>
      </c>
      <c r="E36" s="40" t="s">
        <v>469</v>
      </c>
      <c r="F36" s="2"/>
      <c r="G36" s="2" t="s">
        <v>16</v>
      </c>
      <c r="H36" s="2">
        <v>74</v>
      </c>
      <c r="I36" s="2">
        <v>83</v>
      </c>
      <c r="J36" s="2">
        <v>81</v>
      </c>
      <c r="K36" s="2">
        <v>95</v>
      </c>
      <c r="L36" s="2">
        <v>85</v>
      </c>
      <c r="M36" s="2" t="s">
        <v>20</v>
      </c>
      <c r="N36" s="2" t="s">
        <v>21</v>
      </c>
      <c r="O36" s="2">
        <v>418</v>
      </c>
      <c r="P36" s="2">
        <v>83.6</v>
      </c>
      <c r="Q36" s="2"/>
      <c r="R36" s="2" t="s">
        <v>20</v>
      </c>
      <c r="S36" s="2"/>
    </row>
    <row r="37" spans="1:19" x14ac:dyDescent="0.25">
      <c r="A37" s="1"/>
      <c r="B37" s="2"/>
      <c r="C37" s="2"/>
      <c r="D37" s="2"/>
      <c r="E37" s="2"/>
      <c r="F37" s="2"/>
      <c r="G37" s="2" t="s">
        <v>17</v>
      </c>
      <c r="H37" s="2">
        <v>65</v>
      </c>
      <c r="I37" s="2">
        <v>92</v>
      </c>
      <c r="J37" s="2">
        <v>79</v>
      </c>
      <c r="K37" s="2">
        <v>97</v>
      </c>
      <c r="L37" s="2">
        <v>69</v>
      </c>
      <c r="M37" s="2" t="s">
        <v>20</v>
      </c>
      <c r="N37" s="2" t="s">
        <v>21</v>
      </c>
      <c r="O37" s="2">
        <v>402</v>
      </c>
      <c r="P37" s="2">
        <v>80.400000000000006</v>
      </c>
      <c r="Q37" s="2">
        <v>18</v>
      </c>
      <c r="R37" s="2" t="s">
        <v>20</v>
      </c>
      <c r="S37" s="2"/>
    </row>
    <row r="38" spans="1:19" x14ac:dyDescent="0.25">
      <c r="A38" s="1">
        <v>19</v>
      </c>
      <c r="B38" s="2" t="s">
        <v>97</v>
      </c>
      <c r="C38" s="2">
        <v>8</v>
      </c>
      <c r="D38" s="2" t="s">
        <v>43</v>
      </c>
      <c r="E38" s="40" t="s">
        <v>470</v>
      </c>
      <c r="F38" s="2"/>
      <c r="G38" s="2" t="s">
        <v>16</v>
      </c>
      <c r="H38" s="2">
        <v>84</v>
      </c>
      <c r="I38" s="2">
        <v>94</v>
      </c>
      <c r="J38" s="2">
        <v>94</v>
      </c>
      <c r="K38" s="2">
        <v>94</v>
      </c>
      <c r="L38" s="2">
        <v>96</v>
      </c>
      <c r="M38" s="2" t="s">
        <v>20</v>
      </c>
      <c r="N38" s="2" t="s">
        <v>23</v>
      </c>
      <c r="O38" s="2">
        <v>462</v>
      </c>
      <c r="P38" s="2">
        <v>92.4</v>
      </c>
      <c r="Q38" s="2">
        <v>4</v>
      </c>
      <c r="R38" s="2" t="s">
        <v>19</v>
      </c>
      <c r="S38" s="2"/>
    </row>
    <row r="39" spans="1:19" ht="18" x14ac:dyDescent="0.25">
      <c r="A39" s="1"/>
      <c r="B39" s="2"/>
      <c r="C39" s="2"/>
      <c r="D39" s="2"/>
      <c r="E39" s="2"/>
      <c r="F39" s="2"/>
      <c r="G39" s="2" t="s">
        <v>17</v>
      </c>
      <c r="H39" s="2">
        <v>91</v>
      </c>
      <c r="I39" s="2">
        <v>92</v>
      </c>
      <c r="J39" s="2">
        <v>98</v>
      </c>
      <c r="K39" s="2">
        <v>100</v>
      </c>
      <c r="L39" s="2">
        <v>86</v>
      </c>
      <c r="M39" s="2" t="s">
        <v>19</v>
      </c>
      <c r="N39" s="2" t="s">
        <v>20</v>
      </c>
      <c r="O39" s="2">
        <v>467</v>
      </c>
      <c r="P39" s="2">
        <v>93.4</v>
      </c>
      <c r="Q39" s="2">
        <v>6</v>
      </c>
      <c r="R39" s="2" t="s">
        <v>328</v>
      </c>
      <c r="S39" s="2"/>
    </row>
    <row r="40" spans="1:19" x14ac:dyDescent="0.25">
      <c r="A40" s="1">
        <v>20</v>
      </c>
      <c r="B40" s="2" t="s">
        <v>98</v>
      </c>
      <c r="C40" s="2">
        <v>8</v>
      </c>
      <c r="D40" s="2" t="s">
        <v>43</v>
      </c>
      <c r="E40" s="40" t="s">
        <v>471</v>
      </c>
      <c r="F40" s="2"/>
      <c r="G40" s="2" t="s">
        <v>16</v>
      </c>
      <c r="H40" s="2">
        <v>75</v>
      </c>
      <c r="I40" s="2">
        <v>90</v>
      </c>
      <c r="J40" s="2">
        <v>85</v>
      </c>
      <c r="K40" s="2">
        <v>89</v>
      </c>
      <c r="L40" s="2">
        <v>89</v>
      </c>
      <c r="M40" s="2" t="s">
        <v>20</v>
      </c>
      <c r="N40" s="2" t="s">
        <v>21</v>
      </c>
      <c r="O40" s="2">
        <v>428</v>
      </c>
      <c r="P40" s="2">
        <v>85.6</v>
      </c>
      <c r="Q40" s="2"/>
      <c r="R40" s="2" t="s">
        <v>20</v>
      </c>
      <c r="S40" s="2"/>
    </row>
    <row r="41" spans="1:19" x14ac:dyDescent="0.25">
      <c r="A41" s="1"/>
      <c r="B41" s="2"/>
      <c r="C41" s="2"/>
      <c r="D41" s="2"/>
      <c r="E41" s="2"/>
      <c r="F41" s="2"/>
      <c r="G41" s="2" t="s">
        <v>17</v>
      </c>
      <c r="H41" s="2">
        <v>88</v>
      </c>
      <c r="I41" s="2">
        <v>79</v>
      </c>
      <c r="J41" s="2">
        <v>89</v>
      </c>
      <c r="K41" s="2">
        <v>90</v>
      </c>
      <c r="L41" s="2">
        <v>88</v>
      </c>
      <c r="M41" s="2" t="s">
        <v>19</v>
      </c>
      <c r="N41" s="2" t="s">
        <v>19</v>
      </c>
      <c r="O41" s="2">
        <v>434</v>
      </c>
      <c r="P41" s="2">
        <v>86.8</v>
      </c>
      <c r="Q41" s="2">
        <v>12</v>
      </c>
      <c r="R41" s="2" t="s">
        <v>20</v>
      </c>
      <c r="S41" s="2"/>
    </row>
    <row r="42" spans="1:19" x14ac:dyDescent="0.25">
      <c r="A42" s="1">
        <v>21</v>
      </c>
      <c r="B42" s="2" t="s">
        <v>99</v>
      </c>
      <c r="C42" s="2">
        <v>8</v>
      </c>
      <c r="D42" s="2" t="s">
        <v>42</v>
      </c>
      <c r="E42" s="42" t="s">
        <v>472</v>
      </c>
      <c r="F42" s="2"/>
      <c r="G42" s="2" t="s">
        <v>16</v>
      </c>
      <c r="H42" s="2">
        <v>86</v>
      </c>
      <c r="I42" s="2">
        <v>81</v>
      </c>
      <c r="J42" s="2">
        <v>89</v>
      </c>
      <c r="K42" s="2">
        <v>94</v>
      </c>
      <c r="L42" s="2">
        <v>78</v>
      </c>
      <c r="M42" s="2" t="s">
        <v>20</v>
      </c>
      <c r="N42" s="2" t="s">
        <v>21</v>
      </c>
      <c r="O42" s="2">
        <v>428</v>
      </c>
      <c r="P42" s="2">
        <v>85.6</v>
      </c>
      <c r="Q42" s="2"/>
      <c r="R42" s="2" t="s">
        <v>20</v>
      </c>
      <c r="S42" s="2"/>
    </row>
    <row r="43" spans="1:19" x14ac:dyDescent="0.25">
      <c r="A43" s="1"/>
      <c r="B43" s="2"/>
      <c r="C43" s="2"/>
      <c r="D43" s="2"/>
      <c r="E43" s="2"/>
      <c r="F43" s="2"/>
      <c r="G43" s="2" t="s">
        <v>17</v>
      </c>
      <c r="H43" s="2">
        <v>86</v>
      </c>
      <c r="I43" s="2">
        <v>74</v>
      </c>
      <c r="J43" s="2">
        <v>93</v>
      </c>
      <c r="K43" s="2">
        <v>88</v>
      </c>
      <c r="L43" s="2">
        <v>74</v>
      </c>
      <c r="M43" s="2" t="s">
        <v>19</v>
      </c>
      <c r="N43" s="2" t="s">
        <v>19</v>
      </c>
      <c r="O43" s="2">
        <v>415</v>
      </c>
      <c r="P43" s="2">
        <v>83</v>
      </c>
      <c r="Q43" s="2">
        <v>16</v>
      </c>
      <c r="R43" s="2" t="s">
        <v>20</v>
      </c>
      <c r="S43" s="2"/>
    </row>
    <row r="44" spans="1:19" x14ac:dyDescent="0.25">
      <c r="A44" s="1">
        <v>22</v>
      </c>
      <c r="B44" s="2" t="s">
        <v>100</v>
      </c>
      <c r="C44" s="2">
        <v>8</v>
      </c>
      <c r="D44" s="2" t="s">
        <v>43</v>
      </c>
      <c r="E44" s="42" t="s">
        <v>473</v>
      </c>
      <c r="F44" s="2"/>
      <c r="G44" s="2" t="s">
        <v>16</v>
      </c>
      <c r="H44" s="2">
        <v>86</v>
      </c>
      <c r="I44" s="2">
        <v>93</v>
      </c>
      <c r="J44" s="2">
        <v>88</v>
      </c>
      <c r="K44" s="2">
        <v>100</v>
      </c>
      <c r="L44" s="2">
        <v>95</v>
      </c>
      <c r="M44" s="2" t="s">
        <v>20</v>
      </c>
      <c r="N44" s="2" t="s">
        <v>23</v>
      </c>
      <c r="O44" s="2">
        <v>462</v>
      </c>
      <c r="P44" s="2">
        <v>92.4</v>
      </c>
      <c r="Q44" s="2">
        <v>4</v>
      </c>
      <c r="R44" s="2" t="s">
        <v>92</v>
      </c>
      <c r="S44" s="2"/>
    </row>
    <row r="45" spans="1:19" x14ac:dyDescent="0.25">
      <c r="A45" s="1"/>
      <c r="B45" s="2"/>
      <c r="C45" s="2"/>
      <c r="D45" s="2"/>
      <c r="E45" s="2"/>
      <c r="F45" s="2"/>
      <c r="G45" s="2" t="s">
        <v>17</v>
      </c>
      <c r="H45" s="2">
        <v>91</v>
      </c>
      <c r="I45" s="2">
        <v>98</v>
      </c>
      <c r="J45" s="2">
        <v>100</v>
      </c>
      <c r="K45" s="2">
        <v>100</v>
      </c>
      <c r="L45" s="2">
        <v>98</v>
      </c>
      <c r="M45" s="2" t="s">
        <v>20</v>
      </c>
      <c r="N45" s="2" t="s">
        <v>20</v>
      </c>
      <c r="O45" s="2">
        <v>487</v>
      </c>
      <c r="P45" s="2">
        <v>97.4</v>
      </c>
      <c r="Q45" s="2">
        <v>4</v>
      </c>
      <c r="R45" s="2" t="s">
        <v>107</v>
      </c>
      <c r="S45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T61"/>
  <sheetViews>
    <sheetView zoomScale="85" zoomScaleNormal="85" zoomScalePageLayoutView="85" workbookViewId="0">
      <selection activeCell="B1" sqref="B1"/>
    </sheetView>
  </sheetViews>
  <sheetFormatPr defaultColWidth="11.125" defaultRowHeight="15.75" x14ac:dyDescent="0.25"/>
  <cols>
    <col min="1" max="1" width="7.5" customWidth="1"/>
    <col min="2" max="2" width="25.625" customWidth="1"/>
    <col min="3" max="3" width="8.625" bestFit="1" customWidth="1"/>
    <col min="4" max="4" width="6.5" customWidth="1"/>
    <col min="5" max="5" width="10.625" bestFit="1" customWidth="1"/>
    <col min="6" max="6" width="6.5" customWidth="1"/>
    <col min="15" max="15" width="11.125" customWidth="1"/>
  </cols>
  <sheetData>
    <row r="1" spans="1:20" ht="132.75" x14ac:dyDescent="0.25">
      <c r="A1" s="5" t="s">
        <v>0</v>
      </c>
      <c r="B1" s="6" t="s">
        <v>4</v>
      </c>
      <c r="C1" s="6" t="s">
        <v>3</v>
      </c>
      <c r="D1" s="6" t="s">
        <v>2</v>
      </c>
      <c r="E1" s="6" t="s">
        <v>383</v>
      </c>
      <c r="F1" s="6" t="s">
        <v>384</v>
      </c>
      <c r="G1" s="6" t="s">
        <v>385</v>
      </c>
      <c r="H1" s="6" t="s">
        <v>5</v>
      </c>
      <c r="I1" s="6" t="s">
        <v>6</v>
      </c>
      <c r="J1" s="6" t="s">
        <v>7</v>
      </c>
      <c r="K1" s="6" t="s">
        <v>736</v>
      </c>
      <c r="L1" s="6" t="s">
        <v>8</v>
      </c>
      <c r="M1" s="52" t="s">
        <v>735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7"/>
    </row>
    <row r="2" spans="1:20" x14ac:dyDescent="0.25">
      <c r="A2" s="1">
        <v>1</v>
      </c>
      <c r="B2" s="2" t="s">
        <v>101</v>
      </c>
      <c r="C2" s="2">
        <v>7</v>
      </c>
      <c r="D2" s="2" t="s">
        <v>43</v>
      </c>
      <c r="E2" s="40" t="s">
        <v>474</v>
      </c>
      <c r="F2" s="13"/>
      <c r="G2" s="2" t="s">
        <v>16</v>
      </c>
      <c r="H2" s="2">
        <v>60</v>
      </c>
      <c r="I2" s="2">
        <v>68</v>
      </c>
      <c r="J2" s="2">
        <v>78</v>
      </c>
      <c r="K2" s="2">
        <v>91</v>
      </c>
      <c r="L2" s="2">
        <v>83</v>
      </c>
      <c r="M2" s="2" t="s">
        <v>19</v>
      </c>
      <c r="N2" s="2" t="s">
        <v>21</v>
      </c>
      <c r="O2" s="2">
        <v>380</v>
      </c>
      <c r="P2" s="2">
        <v>76</v>
      </c>
      <c r="Q2" s="2">
        <v>22</v>
      </c>
      <c r="R2" s="2" t="s">
        <v>20</v>
      </c>
      <c r="S2" s="2"/>
    </row>
    <row r="3" spans="1:20" x14ac:dyDescent="0.25">
      <c r="A3" s="1"/>
      <c r="B3" s="2"/>
      <c r="C3" s="2"/>
      <c r="D3" s="2"/>
      <c r="E3" s="2"/>
      <c r="F3" s="2"/>
      <c r="G3" s="2" t="s">
        <v>17</v>
      </c>
      <c r="H3" s="2">
        <v>76</v>
      </c>
      <c r="I3" s="2">
        <v>90</v>
      </c>
      <c r="J3" s="2">
        <v>80</v>
      </c>
      <c r="K3" s="2">
        <v>89</v>
      </c>
      <c r="L3" s="2">
        <v>79</v>
      </c>
      <c r="M3" s="2" t="s">
        <v>19</v>
      </c>
      <c r="N3" s="2" t="s">
        <v>20</v>
      </c>
      <c r="O3" s="2">
        <v>414</v>
      </c>
      <c r="P3" s="2">
        <v>82.8</v>
      </c>
      <c r="Q3" s="2"/>
      <c r="R3" s="2"/>
      <c r="S3" s="2"/>
    </row>
    <row r="4" spans="1:20" x14ac:dyDescent="0.25">
      <c r="A4" s="1">
        <v>2</v>
      </c>
      <c r="B4" s="9" t="s">
        <v>102</v>
      </c>
      <c r="C4" s="2">
        <v>8</v>
      </c>
      <c r="D4" s="2" t="s">
        <v>43</v>
      </c>
      <c r="E4" s="40" t="s">
        <v>475</v>
      </c>
      <c r="F4" s="2"/>
      <c r="G4" s="2" t="s">
        <v>16</v>
      </c>
      <c r="H4" s="2">
        <v>81</v>
      </c>
      <c r="I4" s="2">
        <v>74</v>
      </c>
      <c r="J4" s="2">
        <v>67</v>
      </c>
      <c r="K4" s="2">
        <v>68</v>
      </c>
      <c r="L4" s="2">
        <v>70</v>
      </c>
      <c r="M4" s="2" t="s">
        <v>19</v>
      </c>
      <c r="N4" s="2" t="s">
        <v>21</v>
      </c>
      <c r="O4" s="2">
        <v>360</v>
      </c>
      <c r="P4" s="2">
        <v>72</v>
      </c>
      <c r="Q4" s="2">
        <v>27</v>
      </c>
      <c r="R4" s="2" t="s">
        <v>20</v>
      </c>
      <c r="S4" s="2"/>
    </row>
    <row r="5" spans="1:20" x14ac:dyDescent="0.25">
      <c r="A5" s="1"/>
      <c r="B5" s="2"/>
      <c r="C5" s="2"/>
      <c r="D5" s="2"/>
      <c r="E5" s="2"/>
      <c r="F5" s="2"/>
      <c r="G5" s="2" t="s">
        <v>17</v>
      </c>
      <c r="H5" s="2">
        <v>85</v>
      </c>
      <c r="I5" s="2">
        <v>78</v>
      </c>
      <c r="J5" s="2">
        <v>78</v>
      </c>
      <c r="K5" s="2">
        <v>34</v>
      </c>
      <c r="L5" s="2">
        <v>52</v>
      </c>
      <c r="M5" s="2" t="s">
        <v>19</v>
      </c>
      <c r="N5" s="2" t="s">
        <v>21</v>
      </c>
      <c r="O5" s="2">
        <v>327</v>
      </c>
      <c r="P5" s="2">
        <v>65.400000000000006</v>
      </c>
      <c r="Q5" s="2"/>
      <c r="R5" s="2"/>
      <c r="S5" s="2"/>
    </row>
    <row r="6" spans="1:20" x14ac:dyDescent="0.25">
      <c r="A6" s="1">
        <v>3</v>
      </c>
      <c r="B6" s="2" t="s">
        <v>103</v>
      </c>
      <c r="C6" s="2">
        <v>8</v>
      </c>
      <c r="D6" s="2" t="s">
        <v>42</v>
      </c>
      <c r="E6" s="41" t="s">
        <v>476</v>
      </c>
      <c r="F6" s="2"/>
      <c r="G6" s="2" t="s">
        <v>16</v>
      </c>
      <c r="H6" s="2">
        <v>53</v>
      </c>
      <c r="I6" s="2">
        <v>60</v>
      </c>
      <c r="J6" s="2">
        <v>84</v>
      </c>
      <c r="K6" s="2">
        <v>78</v>
      </c>
      <c r="L6" s="2">
        <v>59</v>
      </c>
      <c r="M6" s="2" t="s">
        <v>19</v>
      </c>
      <c r="N6" s="2" t="s">
        <v>21</v>
      </c>
      <c r="O6" s="2">
        <v>334</v>
      </c>
      <c r="P6" s="2">
        <v>668</v>
      </c>
      <c r="Q6" s="2">
        <v>28</v>
      </c>
      <c r="R6" s="2" t="s">
        <v>20</v>
      </c>
      <c r="S6" s="2"/>
    </row>
    <row r="7" spans="1:20" x14ac:dyDescent="0.25">
      <c r="A7" s="1"/>
      <c r="B7" s="2"/>
      <c r="C7" s="2"/>
      <c r="D7" s="2"/>
      <c r="E7" s="2"/>
      <c r="F7" s="2"/>
      <c r="G7" s="2" t="s">
        <v>17</v>
      </c>
      <c r="H7" s="2">
        <v>58</v>
      </c>
      <c r="I7" s="2">
        <v>78</v>
      </c>
      <c r="J7" s="2">
        <v>75</v>
      </c>
      <c r="K7" s="2">
        <v>48</v>
      </c>
      <c r="L7" s="2">
        <v>52</v>
      </c>
      <c r="M7" s="2"/>
      <c r="N7" s="2"/>
      <c r="O7" s="2">
        <v>311</v>
      </c>
      <c r="P7" s="2">
        <v>62.2</v>
      </c>
      <c r="Q7" s="2"/>
      <c r="R7" s="2"/>
      <c r="S7" s="2"/>
    </row>
    <row r="8" spans="1:20" x14ac:dyDescent="0.25">
      <c r="A8" s="1">
        <v>4</v>
      </c>
      <c r="B8" s="2" t="s">
        <v>104</v>
      </c>
      <c r="C8" s="2">
        <v>8</v>
      </c>
      <c r="D8" s="2" t="s">
        <v>42</v>
      </c>
      <c r="E8" s="40" t="s">
        <v>477</v>
      </c>
      <c r="F8" s="2"/>
      <c r="G8" s="2" t="s">
        <v>16</v>
      </c>
      <c r="H8" s="2">
        <v>89</v>
      </c>
      <c r="I8" s="2">
        <v>92</v>
      </c>
      <c r="J8" s="2">
        <v>87</v>
      </c>
      <c r="K8" s="2">
        <v>96</v>
      </c>
      <c r="L8" s="2">
        <v>97</v>
      </c>
      <c r="M8" s="2" t="s">
        <v>20</v>
      </c>
      <c r="N8" s="2" t="s">
        <v>23</v>
      </c>
      <c r="O8" s="2">
        <v>461</v>
      </c>
      <c r="P8" s="2">
        <v>92.2</v>
      </c>
      <c r="Q8" s="2">
        <v>4</v>
      </c>
      <c r="R8" s="2" t="s">
        <v>20</v>
      </c>
      <c r="S8" s="2"/>
    </row>
    <row r="9" spans="1:20" x14ac:dyDescent="0.25">
      <c r="A9" s="1"/>
      <c r="B9" s="2"/>
      <c r="C9" s="2"/>
      <c r="D9" s="2"/>
      <c r="E9" s="2"/>
      <c r="F9" s="2"/>
      <c r="G9" s="2" t="s">
        <v>17</v>
      </c>
      <c r="H9" s="2">
        <v>94</v>
      </c>
      <c r="I9" s="2">
        <v>100</v>
      </c>
      <c r="J9" s="2">
        <v>95</v>
      </c>
      <c r="K9" s="2">
        <v>100</v>
      </c>
      <c r="L9" s="2">
        <v>97</v>
      </c>
      <c r="M9" s="2" t="s">
        <v>20</v>
      </c>
      <c r="N9" s="2" t="s">
        <v>20</v>
      </c>
      <c r="O9" s="2">
        <v>486</v>
      </c>
      <c r="P9" s="2">
        <v>97.2</v>
      </c>
      <c r="Q9" s="2"/>
      <c r="R9" s="2"/>
      <c r="S9" s="2"/>
    </row>
    <row r="10" spans="1:20" x14ac:dyDescent="0.25">
      <c r="A10" s="1">
        <v>5</v>
      </c>
      <c r="B10" s="2" t="s">
        <v>105</v>
      </c>
      <c r="C10" s="2">
        <v>9</v>
      </c>
      <c r="D10" s="2" t="s">
        <v>43</v>
      </c>
      <c r="E10" s="41" t="s">
        <v>478</v>
      </c>
      <c r="F10" s="2"/>
      <c r="G10" s="2" t="s">
        <v>16</v>
      </c>
      <c r="H10" s="2">
        <v>75</v>
      </c>
      <c r="I10" s="2">
        <v>85</v>
      </c>
      <c r="J10" s="2">
        <v>86</v>
      </c>
      <c r="K10" s="2">
        <v>91</v>
      </c>
      <c r="L10" s="2">
        <v>89</v>
      </c>
      <c r="M10" s="2" t="s">
        <v>20</v>
      </c>
      <c r="N10" s="2" t="s">
        <v>19</v>
      </c>
      <c r="O10" s="2">
        <v>426</v>
      </c>
      <c r="P10" s="2">
        <v>85.2</v>
      </c>
      <c r="Q10" s="2">
        <v>13</v>
      </c>
      <c r="R10" s="2" t="s">
        <v>20</v>
      </c>
      <c r="S10" s="2"/>
    </row>
    <row r="11" spans="1:20" x14ac:dyDescent="0.25">
      <c r="A11" s="1"/>
      <c r="B11" s="2"/>
      <c r="C11" s="2"/>
      <c r="D11" s="2"/>
      <c r="E11" s="2"/>
      <c r="F11" s="2"/>
      <c r="G11" s="2" t="s">
        <v>17</v>
      </c>
      <c r="H11" s="2">
        <v>93</v>
      </c>
      <c r="I11" s="2">
        <v>92</v>
      </c>
      <c r="J11" s="2">
        <v>93</v>
      </c>
      <c r="K11" s="2">
        <v>93</v>
      </c>
      <c r="L11" s="2">
        <v>81</v>
      </c>
      <c r="M11" s="2" t="s">
        <v>20</v>
      </c>
      <c r="N11" s="2" t="s">
        <v>19</v>
      </c>
      <c r="O11" s="2">
        <v>452</v>
      </c>
      <c r="P11" s="2">
        <v>90.4</v>
      </c>
      <c r="Q11" s="2"/>
      <c r="R11" s="2" t="s">
        <v>20</v>
      </c>
      <c r="S11" s="2"/>
    </row>
    <row r="12" spans="1:20" x14ac:dyDescent="0.25">
      <c r="A12" s="1">
        <v>6</v>
      </c>
      <c r="B12" s="9" t="s">
        <v>106</v>
      </c>
      <c r="C12" s="2">
        <v>8</v>
      </c>
      <c r="D12" s="2" t="s">
        <v>43</v>
      </c>
      <c r="E12" s="40" t="s">
        <v>479</v>
      </c>
      <c r="F12" s="2"/>
      <c r="G12" s="2" t="s">
        <v>16</v>
      </c>
      <c r="H12" s="2">
        <v>79</v>
      </c>
      <c r="I12" s="2">
        <v>81</v>
      </c>
      <c r="J12" s="2">
        <v>83</v>
      </c>
      <c r="K12" s="2">
        <v>95</v>
      </c>
      <c r="L12" s="2">
        <v>86</v>
      </c>
      <c r="M12" s="2" t="s">
        <v>107</v>
      </c>
      <c r="N12" s="2" t="s">
        <v>21</v>
      </c>
      <c r="O12" s="2">
        <v>424</v>
      </c>
      <c r="P12" s="2">
        <v>84.8</v>
      </c>
      <c r="Q12" s="2">
        <v>14</v>
      </c>
      <c r="R12" s="2" t="s">
        <v>20</v>
      </c>
      <c r="S12" s="2"/>
    </row>
    <row r="13" spans="1:20" x14ac:dyDescent="0.25">
      <c r="A13" s="1"/>
      <c r="B13" s="2"/>
      <c r="C13" s="2"/>
      <c r="D13" s="2"/>
      <c r="E13" s="2"/>
      <c r="F13" s="2"/>
      <c r="G13" s="2" t="s">
        <v>17</v>
      </c>
      <c r="H13" s="2">
        <v>91</v>
      </c>
      <c r="I13" s="2">
        <v>74</v>
      </c>
      <c r="J13" s="2">
        <v>89</v>
      </c>
      <c r="K13" s="2">
        <v>95</v>
      </c>
      <c r="L13" s="2">
        <v>86</v>
      </c>
      <c r="M13" s="2"/>
      <c r="N13" s="2"/>
      <c r="O13" s="2">
        <v>435</v>
      </c>
      <c r="P13" s="2">
        <v>87</v>
      </c>
      <c r="Q13" s="2"/>
      <c r="R13" s="2"/>
      <c r="S13" s="2"/>
    </row>
    <row r="14" spans="1:20" x14ac:dyDescent="0.25">
      <c r="A14" s="1">
        <v>7</v>
      </c>
      <c r="B14" s="2" t="s">
        <v>108</v>
      </c>
      <c r="C14" s="2">
        <v>10</v>
      </c>
      <c r="D14" s="2" t="s">
        <v>42</v>
      </c>
      <c r="E14" s="40" t="s">
        <v>480</v>
      </c>
      <c r="F14" s="2"/>
      <c r="G14" s="2" t="s">
        <v>16</v>
      </c>
      <c r="H14" s="2">
        <v>57</v>
      </c>
      <c r="I14" s="2">
        <v>57</v>
      </c>
      <c r="J14" s="2">
        <v>64</v>
      </c>
      <c r="K14" s="2">
        <v>68</v>
      </c>
      <c r="L14" s="2">
        <v>72</v>
      </c>
      <c r="M14" s="2" t="s">
        <v>19</v>
      </c>
      <c r="N14" s="2" t="s">
        <v>21</v>
      </c>
      <c r="O14" s="2">
        <v>318</v>
      </c>
      <c r="P14" s="2">
        <v>63.6</v>
      </c>
      <c r="Q14" s="2">
        <v>30</v>
      </c>
      <c r="R14" s="2" t="s">
        <v>20</v>
      </c>
      <c r="S14" s="2"/>
    </row>
    <row r="15" spans="1:20" x14ac:dyDescent="0.25">
      <c r="A15" s="1"/>
      <c r="B15" s="2"/>
      <c r="C15" s="2"/>
      <c r="D15" s="2"/>
      <c r="E15" s="2"/>
      <c r="F15" s="2"/>
      <c r="G15" s="2" t="s">
        <v>17</v>
      </c>
      <c r="H15" s="2">
        <v>80</v>
      </c>
      <c r="I15" s="2">
        <v>71</v>
      </c>
      <c r="J15" s="2">
        <v>85</v>
      </c>
      <c r="K15" s="2">
        <v>67</v>
      </c>
      <c r="L15" s="2">
        <v>53</v>
      </c>
      <c r="M15" s="2"/>
      <c r="N15" s="2"/>
      <c r="O15" s="2">
        <v>356</v>
      </c>
      <c r="P15" s="2">
        <v>71.2</v>
      </c>
      <c r="Q15" s="2"/>
      <c r="R15" s="2"/>
      <c r="S15" s="2"/>
    </row>
    <row r="16" spans="1:20" x14ac:dyDescent="0.25">
      <c r="A16" s="1">
        <v>8</v>
      </c>
      <c r="B16" s="9" t="s">
        <v>109</v>
      </c>
      <c r="C16" s="2">
        <v>9</v>
      </c>
      <c r="D16" s="2" t="s">
        <v>43</v>
      </c>
      <c r="E16" s="12" t="s">
        <v>703</v>
      </c>
      <c r="F16" s="2"/>
      <c r="G16" s="2" t="s">
        <v>16</v>
      </c>
      <c r="H16" s="2">
        <v>82</v>
      </c>
      <c r="I16" s="2">
        <v>85</v>
      </c>
      <c r="J16" s="2">
        <v>85</v>
      </c>
      <c r="K16" s="2">
        <v>100</v>
      </c>
      <c r="L16" s="2">
        <v>91</v>
      </c>
      <c r="M16" s="2" t="s">
        <v>20</v>
      </c>
      <c r="N16" s="2" t="s">
        <v>21</v>
      </c>
      <c r="O16" s="2">
        <v>443</v>
      </c>
      <c r="P16" s="2">
        <v>88.6</v>
      </c>
      <c r="Q16" s="2">
        <v>11</v>
      </c>
      <c r="R16" s="2" t="s">
        <v>20</v>
      </c>
      <c r="S16" s="2"/>
    </row>
    <row r="17" spans="1:19" x14ac:dyDescent="0.25">
      <c r="A17" s="1"/>
      <c r="B17" s="2"/>
      <c r="C17" s="2"/>
      <c r="D17" s="2"/>
      <c r="E17" s="2"/>
      <c r="F17" s="2"/>
      <c r="G17" s="2" t="s">
        <v>17</v>
      </c>
      <c r="H17" s="2">
        <v>87</v>
      </c>
      <c r="I17" s="2">
        <v>100</v>
      </c>
      <c r="J17" s="2">
        <v>88</v>
      </c>
      <c r="K17" s="2">
        <v>100</v>
      </c>
      <c r="L17" s="2">
        <v>93</v>
      </c>
      <c r="M17" s="2" t="s">
        <v>20</v>
      </c>
      <c r="N17" s="2" t="s">
        <v>20</v>
      </c>
      <c r="O17" s="2">
        <v>468</v>
      </c>
      <c r="P17" s="2">
        <v>93.6</v>
      </c>
      <c r="Q17" s="2"/>
      <c r="R17" s="2"/>
      <c r="S17" s="2"/>
    </row>
    <row r="18" spans="1:19" x14ac:dyDescent="0.25">
      <c r="A18" s="1">
        <v>9</v>
      </c>
      <c r="B18" s="2" t="s">
        <v>110</v>
      </c>
      <c r="C18" s="2">
        <v>8</v>
      </c>
      <c r="D18" s="2" t="s">
        <v>43</v>
      </c>
      <c r="E18" s="40" t="s">
        <v>481</v>
      </c>
      <c r="F18" s="2"/>
      <c r="G18" s="2" t="s">
        <v>16</v>
      </c>
      <c r="H18" s="2">
        <v>58</v>
      </c>
      <c r="I18" s="2">
        <v>74</v>
      </c>
      <c r="J18" s="2">
        <v>84</v>
      </c>
      <c r="K18" s="2">
        <v>74</v>
      </c>
      <c r="L18" s="2">
        <v>81</v>
      </c>
      <c r="M18" s="2" t="s">
        <v>20</v>
      </c>
      <c r="N18" s="2" t="s">
        <v>21</v>
      </c>
      <c r="O18" s="2">
        <v>371</v>
      </c>
      <c r="P18" s="2">
        <v>74.2</v>
      </c>
      <c r="Q18" s="2">
        <v>26</v>
      </c>
      <c r="R18" s="2" t="s">
        <v>20</v>
      </c>
      <c r="S18" s="2"/>
    </row>
    <row r="19" spans="1:19" x14ac:dyDescent="0.25">
      <c r="A19" s="1"/>
      <c r="B19" s="2"/>
      <c r="C19" s="2"/>
      <c r="D19" s="2"/>
      <c r="E19" s="2"/>
      <c r="F19" s="2"/>
      <c r="G19" s="2" t="s">
        <v>17</v>
      </c>
      <c r="H19" s="2">
        <v>83</v>
      </c>
      <c r="I19" s="2">
        <v>75</v>
      </c>
      <c r="J19" s="2">
        <v>86.5</v>
      </c>
      <c r="K19" s="2">
        <v>73</v>
      </c>
      <c r="L19" s="2">
        <v>75</v>
      </c>
      <c r="M19" s="2" t="s">
        <v>19</v>
      </c>
      <c r="N19" s="2" t="s">
        <v>21</v>
      </c>
      <c r="O19" s="2">
        <v>394</v>
      </c>
      <c r="P19" s="2">
        <v>78.8</v>
      </c>
      <c r="Q19" s="2"/>
      <c r="R19" s="2"/>
      <c r="S19" s="2"/>
    </row>
    <row r="20" spans="1:19" x14ac:dyDescent="0.25">
      <c r="A20" s="1">
        <v>10</v>
      </c>
      <c r="B20" s="2" t="s">
        <v>111</v>
      </c>
      <c r="C20" s="2">
        <v>9</v>
      </c>
      <c r="D20" s="2" t="s">
        <v>42</v>
      </c>
      <c r="E20" s="12" t="s">
        <v>704</v>
      </c>
      <c r="F20" s="2"/>
      <c r="G20" s="2" t="s">
        <v>16</v>
      </c>
      <c r="H20" s="2">
        <v>78</v>
      </c>
      <c r="I20" s="2">
        <v>89</v>
      </c>
      <c r="J20" s="2">
        <v>87</v>
      </c>
      <c r="K20" s="2">
        <v>77</v>
      </c>
      <c r="L20" s="2">
        <v>93</v>
      </c>
      <c r="M20" s="2" t="s">
        <v>20</v>
      </c>
      <c r="N20" s="2" t="s">
        <v>23</v>
      </c>
      <c r="O20" s="2">
        <v>424</v>
      </c>
      <c r="P20" s="2">
        <v>84.8</v>
      </c>
      <c r="Q20" s="2">
        <v>14</v>
      </c>
      <c r="R20" s="2" t="s">
        <v>20</v>
      </c>
      <c r="S20" s="2"/>
    </row>
    <row r="21" spans="1:19" x14ac:dyDescent="0.25">
      <c r="A21" s="1"/>
      <c r="B21" s="2"/>
      <c r="C21" s="2"/>
      <c r="D21" s="2"/>
      <c r="E21" s="2"/>
      <c r="F21" s="2"/>
      <c r="G21" s="2" t="s">
        <v>17</v>
      </c>
      <c r="H21" s="2">
        <v>93</v>
      </c>
      <c r="I21" s="2">
        <v>99</v>
      </c>
      <c r="J21" s="2">
        <v>91</v>
      </c>
      <c r="K21" s="2">
        <v>95</v>
      </c>
      <c r="L21" s="2">
        <v>90</v>
      </c>
      <c r="M21" s="2" t="s">
        <v>20</v>
      </c>
      <c r="N21" s="2" t="s">
        <v>19</v>
      </c>
      <c r="O21" s="2">
        <v>468</v>
      </c>
      <c r="P21" s="2">
        <v>93.6</v>
      </c>
      <c r="Q21" s="2"/>
      <c r="R21" s="2"/>
      <c r="S21" s="2"/>
    </row>
    <row r="22" spans="1:19" x14ac:dyDescent="0.25">
      <c r="A22" s="1">
        <v>11</v>
      </c>
      <c r="B22" s="2" t="s">
        <v>112</v>
      </c>
      <c r="C22" s="2">
        <v>8</v>
      </c>
      <c r="D22" s="2" t="s">
        <v>43</v>
      </c>
      <c r="E22" s="40" t="s">
        <v>482</v>
      </c>
      <c r="F22" s="2"/>
      <c r="G22" s="2" t="s">
        <v>16</v>
      </c>
      <c r="H22" s="2">
        <v>59</v>
      </c>
      <c r="I22" s="2">
        <v>75</v>
      </c>
      <c r="J22" s="2">
        <v>79</v>
      </c>
      <c r="K22" s="2">
        <v>82</v>
      </c>
      <c r="L22" s="2">
        <v>82</v>
      </c>
      <c r="M22" s="2" t="s">
        <v>20</v>
      </c>
      <c r="N22" s="2" t="s">
        <v>21</v>
      </c>
      <c r="O22" s="2">
        <v>377</v>
      </c>
      <c r="P22" s="2">
        <v>75.400000000000006</v>
      </c>
      <c r="Q22" s="2">
        <v>24</v>
      </c>
      <c r="R22" s="2" t="s">
        <v>19</v>
      </c>
      <c r="S22" s="2"/>
    </row>
    <row r="23" spans="1:19" x14ac:dyDescent="0.25">
      <c r="A23" s="1"/>
      <c r="B23" s="2"/>
      <c r="C23" s="2"/>
      <c r="D23" s="2"/>
      <c r="E23" s="2"/>
      <c r="F23" s="2"/>
      <c r="G23" s="2" t="s">
        <v>17</v>
      </c>
      <c r="H23" s="2">
        <v>94</v>
      </c>
      <c r="I23" s="2">
        <v>77</v>
      </c>
      <c r="J23" s="2">
        <v>80</v>
      </c>
      <c r="K23" s="2">
        <v>74</v>
      </c>
      <c r="L23" s="2">
        <v>69</v>
      </c>
      <c r="M23" s="2" t="s">
        <v>20</v>
      </c>
      <c r="N23" s="2" t="s">
        <v>21</v>
      </c>
      <c r="O23" s="2">
        <v>394</v>
      </c>
      <c r="P23" s="2">
        <v>78.8</v>
      </c>
      <c r="Q23" s="2"/>
      <c r="R23" s="2"/>
      <c r="S23" s="2"/>
    </row>
    <row r="24" spans="1:19" s="50" customFormat="1" x14ac:dyDescent="0.25">
      <c r="A24" s="48">
        <v>12</v>
      </c>
      <c r="B24" s="49" t="s">
        <v>113</v>
      </c>
      <c r="C24" s="49">
        <v>8</v>
      </c>
      <c r="D24" s="49" t="s">
        <v>43</v>
      </c>
      <c r="E24" s="12" t="s">
        <v>705</v>
      </c>
      <c r="F24" s="49"/>
      <c r="G24" s="49" t="s">
        <v>16</v>
      </c>
      <c r="H24" s="49">
        <v>79</v>
      </c>
      <c r="I24" s="49">
        <v>86</v>
      </c>
      <c r="J24" s="49">
        <v>86</v>
      </c>
      <c r="K24" s="49">
        <v>96</v>
      </c>
      <c r="L24" s="49">
        <v>77</v>
      </c>
      <c r="M24" s="49" t="s">
        <v>20</v>
      </c>
      <c r="N24" s="49" t="s">
        <v>21</v>
      </c>
      <c r="O24" s="49">
        <v>424</v>
      </c>
      <c r="P24" s="49">
        <v>84.8</v>
      </c>
      <c r="Q24" s="49">
        <v>14</v>
      </c>
      <c r="R24" s="49" t="s">
        <v>20</v>
      </c>
      <c r="S24" s="49"/>
    </row>
    <row r="25" spans="1:19" s="50" customFormat="1" x14ac:dyDescent="0.25">
      <c r="A25" s="48"/>
      <c r="B25" s="49"/>
      <c r="C25" s="49"/>
      <c r="D25" s="49"/>
      <c r="E25" s="49"/>
      <c r="F25" s="49"/>
      <c r="G25" s="49" t="s">
        <v>17</v>
      </c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</row>
    <row r="26" spans="1:19" x14ac:dyDescent="0.25">
      <c r="A26" s="1">
        <v>13</v>
      </c>
      <c r="B26" s="2" t="s">
        <v>114</v>
      </c>
      <c r="C26" s="2">
        <v>8</v>
      </c>
      <c r="D26" s="2" t="s">
        <v>42</v>
      </c>
      <c r="E26" s="40" t="s">
        <v>483</v>
      </c>
      <c r="F26" s="2"/>
      <c r="G26" s="2" t="s">
        <v>16</v>
      </c>
      <c r="H26" s="2">
        <v>78</v>
      </c>
      <c r="I26" s="2">
        <v>80</v>
      </c>
      <c r="J26" s="2">
        <v>76</v>
      </c>
      <c r="K26" s="2">
        <v>97</v>
      </c>
      <c r="L26" s="2">
        <v>88</v>
      </c>
      <c r="M26" s="2" t="s">
        <v>20</v>
      </c>
      <c r="N26" s="2" t="s">
        <v>21</v>
      </c>
      <c r="O26" s="2">
        <v>419</v>
      </c>
      <c r="P26" s="2">
        <v>83.8</v>
      </c>
      <c r="Q26" s="2">
        <v>17</v>
      </c>
      <c r="R26" s="2" t="s">
        <v>20</v>
      </c>
      <c r="S26" s="2"/>
    </row>
    <row r="27" spans="1:19" x14ac:dyDescent="0.25">
      <c r="A27" s="1"/>
      <c r="B27" s="2"/>
      <c r="C27" s="2"/>
      <c r="D27" s="2"/>
      <c r="E27" s="2"/>
      <c r="F27" s="2"/>
      <c r="G27" s="2" t="s">
        <v>17</v>
      </c>
      <c r="H27" s="2">
        <v>93</v>
      </c>
      <c r="I27" s="2">
        <v>89</v>
      </c>
      <c r="J27" s="2">
        <v>91</v>
      </c>
      <c r="K27" s="2">
        <v>96</v>
      </c>
      <c r="L27" s="2">
        <v>80</v>
      </c>
      <c r="M27" s="2" t="s">
        <v>19</v>
      </c>
      <c r="N27" s="2" t="s">
        <v>19</v>
      </c>
      <c r="O27" s="2">
        <v>449</v>
      </c>
      <c r="P27" s="2">
        <v>89.8</v>
      </c>
      <c r="Q27" s="2"/>
      <c r="R27" s="2"/>
      <c r="S27" s="2"/>
    </row>
    <row r="28" spans="1:19" x14ac:dyDescent="0.25">
      <c r="A28" s="3">
        <v>14</v>
      </c>
      <c r="B28" s="4" t="s">
        <v>115</v>
      </c>
      <c r="C28" s="4">
        <v>8</v>
      </c>
      <c r="D28" s="4" t="s">
        <v>43</v>
      </c>
      <c r="E28" s="40" t="s">
        <v>484</v>
      </c>
      <c r="F28" s="2"/>
      <c r="G28" s="2" t="s">
        <v>16</v>
      </c>
      <c r="H28" s="4">
        <v>93</v>
      </c>
      <c r="I28" s="4">
        <v>97</v>
      </c>
      <c r="J28" s="4">
        <v>96</v>
      </c>
      <c r="K28" s="4">
        <v>97</v>
      </c>
      <c r="L28" s="2">
        <v>98</v>
      </c>
      <c r="M28" s="2" t="s">
        <v>20</v>
      </c>
      <c r="N28" s="2" t="s">
        <v>19</v>
      </c>
      <c r="O28" s="2">
        <v>481</v>
      </c>
      <c r="P28" s="2">
        <v>96.2</v>
      </c>
      <c r="Q28" s="2">
        <v>2</v>
      </c>
      <c r="R28" s="4" t="s">
        <v>20</v>
      </c>
      <c r="S28" s="4"/>
    </row>
    <row r="29" spans="1:19" x14ac:dyDescent="0.25">
      <c r="A29" s="1"/>
      <c r="B29" s="2"/>
      <c r="C29" s="2"/>
      <c r="D29" s="2"/>
      <c r="E29" s="2"/>
      <c r="F29" s="2"/>
      <c r="G29" s="2" t="s">
        <v>17</v>
      </c>
      <c r="H29" s="2">
        <v>94</v>
      </c>
      <c r="I29" s="2">
        <v>100</v>
      </c>
      <c r="J29" s="2">
        <v>94</v>
      </c>
      <c r="K29" s="2">
        <v>100</v>
      </c>
      <c r="L29" s="2">
        <v>97</v>
      </c>
      <c r="M29" s="2" t="s">
        <v>20</v>
      </c>
      <c r="N29" s="2" t="s">
        <v>20</v>
      </c>
      <c r="O29" s="2">
        <v>485</v>
      </c>
      <c r="P29" s="2">
        <v>97</v>
      </c>
      <c r="Q29" s="2"/>
      <c r="R29" s="2"/>
      <c r="S29" s="2"/>
    </row>
    <row r="30" spans="1:19" x14ac:dyDescent="0.25">
      <c r="A30" s="1">
        <v>15</v>
      </c>
      <c r="B30" s="2" t="s">
        <v>116</v>
      </c>
      <c r="C30" s="2">
        <v>9</v>
      </c>
      <c r="D30" s="2" t="s">
        <v>42</v>
      </c>
      <c r="E30" s="40" t="s">
        <v>485</v>
      </c>
      <c r="F30" s="2"/>
      <c r="G30" s="2" t="s">
        <v>16</v>
      </c>
      <c r="H30" s="2">
        <v>92</v>
      </c>
      <c r="I30" s="2">
        <v>95</v>
      </c>
      <c r="J30" s="2">
        <v>98</v>
      </c>
      <c r="K30" s="2">
        <v>98</v>
      </c>
      <c r="L30" s="2">
        <v>97</v>
      </c>
      <c r="M30" s="2" t="s">
        <v>20</v>
      </c>
      <c r="N30" s="2" t="s">
        <v>23</v>
      </c>
      <c r="O30" s="2">
        <v>480</v>
      </c>
      <c r="P30" s="2">
        <v>96</v>
      </c>
      <c r="Q30" s="2">
        <v>3</v>
      </c>
      <c r="R30" s="2" t="s">
        <v>23</v>
      </c>
      <c r="S30" s="2"/>
    </row>
    <row r="31" spans="1:19" x14ac:dyDescent="0.25">
      <c r="A31" s="1"/>
      <c r="B31" s="2"/>
      <c r="C31" s="2"/>
      <c r="D31" s="2"/>
      <c r="E31" s="2"/>
      <c r="F31" s="2"/>
      <c r="G31" s="2" t="s">
        <v>17</v>
      </c>
      <c r="H31" s="2">
        <v>100</v>
      </c>
      <c r="I31" s="2">
        <v>100</v>
      </c>
      <c r="J31" s="2">
        <v>99</v>
      </c>
      <c r="K31" s="2">
        <v>100</v>
      </c>
      <c r="L31" s="2">
        <v>96</v>
      </c>
      <c r="M31" s="2" t="s">
        <v>20</v>
      </c>
      <c r="N31" s="2" t="s">
        <v>20</v>
      </c>
      <c r="O31" s="2">
        <v>495</v>
      </c>
      <c r="P31" s="2">
        <v>99</v>
      </c>
      <c r="Q31" s="2"/>
      <c r="R31" s="2"/>
      <c r="S31" s="2"/>
    </row>
    <row r="32" spans="1:19" x14ac:dyDescent="0.25">
      <c r="A32" s="1">
        <v>16</v>
      </c>
      <c r="B32" s="2" t="s">
        <v>117</v>
      </c>
      <c r="C32" s="2">
        <v>8</v>
      </c>
      <c r="D32" s="2" t="s">
        <v>42</v>
      </c>
      <c r="E32" s="40" t="s">
        <v>486</v>
      </c>
      <c r="F32" s="2"/>
      <c r="G32" s="2" t="s">
        <v>16</v>
      </c>
      <c r="H32" s="2">
        <v>98</v>
      </c>
      <c r="I32" s="2">
        <v>85</v>
      </c>
      <c r="J32" s="2">
        <v>84</v>
      </c>
      <c r="K32" s="2">
        <v>90</v>
      </c>
      <c r="L32" s="2">
        <v>97</v>
      </c>
      <c r="M32" s="2" t="s">
        <v>20</v>
      </c>
      <c r="N32" s="2" t="s">
        <v>21</v>
      </c>
      <c r="O32" s="2">
        <v>454</v>
      </c>
      <c r="P32" s="2">
        <v>90.8</v>
      </c>
      <c r="Q32" s="2">
        <v>10</v>
      </c>
      <c r="R32" s="2" t="s">
        <v>20</v>
      </c>
      <c r="S32" s="2"/>
    </row>
    <row r="33" spans="1:19" x14ac:dyDescent="0.25">
      <c r="A33" s="1"/>
      <c r="B33" s="2"/>
      <c r="C33" s="2"/>
      <c r="D33" s="2"/>
      <c r="E33" s="2"/>
      <c r="F33" s="2"/>
      <c r="G33" s="2" t="s">
        <v>17</v>
      </c>
      <c r="H33" s="2">
        <v>91</v>
      </c>
      <c r="I33" s="2">
        <v>96</v>
      </c>
      <c r="J33" s="2">
        <v>95</v>
      </c>
      <c r="K33" s="2">
        <v>97</v>
      </c>
      <c r="L33" s="2">
        <v>96</v>
      </c>
      <c r="M33" s="2" t="s">
        <v>20</v>
      </c>
      <c r="N33" s="2" t="s">
        <v>20</v>
      </c>
      <c r="O33" s="2">
        <v>475</v>
      </c>
      <c r="P33" s="2">
        <v>95</v>
      </c>
      <c r="Q33" s="2"/>
      <c r="R33" s="2"/>
      <c r="S33" s="2"/>
    </row>
    <row r="34" spans="1:19" x14ac:dyDescent="0.25">
      <c r="A34" s="1">
        <v>17</v>
      </c>
      <c r="B34" s="9" t="s">
        <v>118</v>
      </c>
      <c r="C34" s="2">
        <v>9</v>
      </c>
      <c r="D34" s="2" t="s">
        <v>42</v>
      </c>
      <c r="E34" s="40" t="s">
        <v>487</v>
      </c>
      <c r="F34" s="2"/>
      <c r="G34" s="2" t="s">
        <v>16</v>
      </c>
      <c r="H34" s="2">
        <v>96</v>
      </c>
      <c r="I34" s="2">
        <v>85</v>
      </c>
      <c r="J34" s="2">
        <v>88</v>
      </c>
      <c r="K34" s="2">
        <v>94</v>
      </c>
      <c r="L34" s="2">
        <v>96</v>
      </c>
      <c r="M34" s="2" t="s">
        <v>20</v>
      </c>
      <c r="N34" s="2" t="s">
        <v>21</v>
      </c>
      <c r="O34" s="2">
        <v>459</v>
      </c>
      <c r="P34" s="2">
        <v>91.8</v>
      </c>
      <c r="Q34" s="2">
        <v>7</v>
      </c>
      <c r="R34" s="2" t="s">
        <v>20</v>
      </c>
      <c r="S34" s="2"/>
    </row>
    <row r="35" spans="1:19" x14ac:dyDescent="0.25">
      <c r="A35" s="1"/>
      <c r="B35" s="2"/>
      <c r="C35" s="2"/>
      <c r="D35" s="2"/>
      <c r="E35" s="2"/>
      <c r="F35" s="2"/>
      <c r="G35" s="2" t="s">
        <v>17</v>
      </c>
      <c r="H35" s="2">
        <v>95</v>
      </c>
      <c r="I35" s="2">
        <v>100</v>
      </c>
      <c r="J35" s="2">
        <v>97</v>
      </c>
      <c r="K35" s="2">
        <v>100</v>
      </c>
      <c r="L35" s="2">
        <v>86</v>
      </c>
      <c r="M35" s="2" t="s">
        <v>20</v>
      </c>
      <c r="N35" s="2" t="s">
        <v>19</v>
      </c>
      <c r="O35" s="2">
        <v>478</v>
      </c>
      <c r="P35" s="2">
        <v>95.6</v>
      </c>
      <c r="Q35" s="2"/>
      <c r="R35" s="2"/>
      <c r="S35" s="2"/>
    </row>
    <row r="36" spans="1:19" x14ac:dyDescent="0.25">
      <c r="A36" s="1">
        <v>18</v>
      </c>
      <c r="B36" s="2" t="s">
        <v>119</v>
      </c>
      <c r="C36" s="2">
        <v>9</v>
      </c>
      <c r="D36" s="2" t="s">
        <v>42</v>
      </c>
      <c r="E36" s="40" t="s">
        <v>488</v>
      </c>
      <c r="F36" s="2"/>
      <c r="G36" s="2" t="s">
        <v>16</v>
      </c>
      <c r="H36" s="2">
        <v>82</v>
      </c>
      <c r="I36" s="2">
        <v>80</v>
      </c>
      <c r="J36" s="2">
        <v>78</v>
      </c>
      <c r="K36" s="2">
        <v>98</v>
      </c>
      <c r="L36" s="2">
        <v>81</v>
      </c>
      <c r="M36" s="2" t="s">
        <v>20</v>
      </c>
      <c r="N36" s="2" t="s">
        <v>21</v>
      </c>
      <c r="O36" s="2">
        <v>419</v>
      </c>
      <c r="P36" s="2">
        <v>83.8</v>
      </c>
      <c r="Q36" s="2">
        <v>17</v>
      </c>
      <c r="R36" s="2" t="s">
        <v>20</v>
      </c>
      <c r="S36" s="2"/>
    </row>
    <row r="37" spans="1:19" x14ac:dyDescent="0.25">
      <c r="A37" s="1"/>
      <c r="B37" s="2"/>
      <c r="C37" s="2"/>
      <c r="D37" s="2"/>
      <c r="E37" s="2"/>
      <c r="F37" s="2"/>
      <c r="G37" s="2" t="s">
        <v>17</v>
      </c>
      <c r="H37" s="2">
        <v>85</v>
      </c>
      <c r="I37" s="2">
        <v>88</v>
      </c>
      <c r="J37" s="2">
        <v>74</v>
      </c>
      <c r="K37" s="2">
        <v>94</v>
      </c>
      <c r="L37" s="2">
        <v>90</v>
      </c>
      <c r="M37" s="2" t="s">
        <v>19</v>
      </c>
      <c r="N37" s="2" t="s">
        <v>21</v>
      </c>
      <c r="O37" s="2">
        <v>431</v>
      </c>
      <c r="P37" s="2">
        <v>86.2</v>
      </c>
      <c r="Q37" s="2"/>
      <c r="R37" s="2"/>
      <c r="S37" s="2"/>
    </row>
    <row r="38" spans="1:19" x14ac:dyDescent="0.25">
      <c r="A38" s="1">
        <v>19</v>
      </c>
      <c r="B38" s="2" t="s">
        <v>120</v>
      </c>
      <c r="C38" s="2">
        <v>9</v>
      </c>
      <c r="D38" s="2" t="s">
        <v>43</v>
      </c>
      <c r="E38" s="41" t="s">
        <v>489</v>
      </c>
      <c r="F38" s="2"/>
      <c r="G38" s="2" t="s">
        <v>16</v>
      </c>
      <c r="H38" s="2">
        <v>86</v>
      </c>
      <c r="I38" s="2">
        <v>67</v>
      </c>
      <c r="J38" s="2">
        <v>90</v>
      </c>
      <c r="K38" s="2">
        <v>82</v>
      </c>
      <c r="L38" s="2">
        <v>70</v>
      </c>
      <c r="M38" s="2" t="s">
        <v>19</v>
      </c>
      <c r="N38" s="2" t="s">
        <v>21</v>
      </c>
      <c r="O38" s="2">
        <v>395</v>
      </c>
      <c r="P38" s="2">
        <v>79</v>
      </c>
      <c r="Q38" s="2">
        <v>21</v>
      </c>
      <c r="R38" s="2" t="s">
        <v>20</v>
      </c>
      <c r="S38" s="2"/>
    </row>
    <row r="39" spans="1:19" x14ac:dyDescent="0.25">
      <c r="A39" s="1"/>
      <c r="B39" s="2"/>
      <c r="C39" s="2"/>
      <c r="D39" s="2"/>
      <c r="E39" s="2"/>
      <c r="F39" s="2"/>
      <c r="G39" s="2" t="s">
        <v>17</v>
      </c>
      <c r="H39" s="2">
        <v>93</v>
      </c>
      <c r="I39" s="2">
        <v>76</v>
      </c>
      <c r="J39" s="2">
        <v>80</v>
      </c>
      <c r="K39" s="2">
        <v>63</v>
      </c>
      <c r="L39" s="2">
        <v>71</v>
      </c>
      <c r="M39" s="2" t="s">
        <v>20</v>
      </c>
      <c r="N39" s="2" t="s">
        <v>21</v>
      </c>
      <c r="O39" s="2">
        <v>383</v>
      </c>
      <c r="P39" s="2">
        <v>76.599999999999994</v>
      </c>
      <c r="Q39" s="2"/>
      <c r="R39" s="2"/>
      <c r="S39" s="2"/>
    </row>
    <row r="40" spans="1:19" x14ac:dyDescent="0.25">
      <c r="A40" s="1">
        <v>20</v>
      </c>
      <c r="B40" s="2" t="s">
        <v>121</v>
      </c>
      <c r="C40" s="2">
        <v>8</v>
      </c>
      <c r="D40" s="2" t="s">
        <v>43</v>
      </c>
      <c r="E40" s="40" t="s">
        <v>490</v>
      </c>
      <c r="F40" s="2"/>
      <c r="G40" s="2" t="s">
        <v>16</v>
      </c>
      <c r="H40" s="2">
        <v>89</v>
      </c>
      <c r="I40" s="2">
        <v>87</v>
      </c>
      <c r="J40" s="2">
        <v>93</v>
      </c>
      <c r="K40" s="2">
        <v>97</v>
      </c>
      <c r="L40" s="2">
        <v>92</v>
      </c>
      <c r="M40" s="2" t="s">
        <v>19</v>
      </c>
      <c r="N40" s="2" t="s">
        <v>21</v>
      </c>
      <c r="O40" s="2">
        <v>458</v>
      </c>
      <c r="P40" s="2">
        <v>91.6</v>
      </c>
      <c r="Q40" s="2">
        <v>8</v>
      </c>
      <c r="R40" s="2" t="s">
        <v>20</v>
      </c>
      <c r="S40" s="2"/>
    </row>
    <row r="41" spans="1:19" x14ac:dyDescent="0.25">
      <c r="A41" s="1"/>
      <c r="B41" s="2"/>
      <c r="C41" s="2"/>
      <c r="D41" s="2"/>
      <c r="E41" s="2"/>
      <c r="F41" s="2"/>
      <c r="G41" s="2" t="s">
        <v>17</v>
      </c>
      <c r="H41" s="2">
        <v>91</v>
      </c>
      <c r="I41" s="2">
        <v>91</v>
      </c>
      <c r="J41" s="2">
        <v>94</v>
      </c>
      <c r="K41" s="2">
        <v>90</v>
      </c>
      <c r="L41" s="2">
        <v>54</v>
      </c>
      <c r="M41" s="2" t="s">
        <v>20</v>
      </c>
      <c r="N41" s="2" t="s">
        <v>21</v>
      </c>
      <c r="O41" s="2">
        <v>420</v>
      </c>
      <c r="P41" s="2">
        <v>84</v>
      </c>
      <c r="Q41" s="2"/>
      <c r="R41" s="2"/>
      <c r="S41" s="2"/>
    </row>
    <row r="42" spans="1:19" x14ac:dyDescent="0.25">
      <c r="A42" s="1">
        <v>21</v>
      </c>
      <c r="B42" s="8" t="s">
        <v>122</v>
      </c>
      <c r="C42" s="2">
        <v>8</v>
      </c>
      <c r="D42" s="2" t="s">
        <v>43</v>
      </c>
      <c r="E42" s="12" t="s">
        <v>706</v>
      </c>
      <c r="F42" s="2"/>
      <c r="G42" s="2" t="s">
        <v>16</v>
      </c>
      <c r="H42" s="2">
        <v>78</v>
      </c>
      <c r="I42" s="2">
        <v>80</v>
      </c>
      <c r="J42" s="2">
        <v>80</v>
      </c>
      <c r="K42" s="2">
        <v>89</v>
      </c>
      <c r="L42" s="2">
        <v>78</v>
      </c>
      <c r="M42" s="2" t="s">
        <v>19</v>
      </c>
      <c r="N42" s="2" t="s">
        <v>21</v>
      </c>
      <c r="O42" s="2">
        <v>405</v>
      </c>
      <c r="P42" s="2">
        <v>81</v>
      </c>
      <c r="Q42" s="2">
        <v>19</v>
      </c>
      <c r="R42" s="2" t="s">
        <v>20</v>
      </c>
      <c r="S42" s="2"/>
    </row>
    <row r="43" spans="1:19" x14ac:dyDescent="0.25">
      <c r="A43" s="1"/>
      <c r="B43" s="2"/>
      <c r="C43" s="2"/>
      <c r="D43" s="2"/>
      <c r="E43" s="2"/>
      <c r="F43" s="2"/>
      <c r="G43" s="2" t="s">
        <v>17</v>
      </c>
      <c r="H43" s="2">
        <v>64</v>
      </c>
      <c r="I43" s="2">
        <v>83</v>
      </c>
      <c r="J43" s="2">
        <v>78</v>
      </c>
      <c r="K43" s="2">
        <v>96</v>
      </c>
      <c r="L43" s="2">
        <v>92</v>
      </c>
      <c r="M43" s="2" t="s">
        <v>19</v>
      </c>
      <c r="N43" s="2" t="s">
        <v>21</v>
      </c>
      <c r="O43" s="2">
        <v>413</v>
      </c>
      <c r="P43" s="2">
        <v>82.6</v>
      </c>
      <c r="Q43" s="2"/>
      <c r="R43" s="2"/>
      <c r="S43" s="2"/>
    </row>
    <row r="44" spans="1:19" x14ac:dyDescent="0.25">
      <c r="A44" s="1">
        <v>22</v>
      </c>
      <c r="B44" s="2" t="s">
        <v>123</v>
      </c>
      <c r="C44" s="2">
        <v>9</v>
      </c>
      <c r="D44" s="2" t="s">
        <v>43</v>
      </c>
      <c r="E44" s="40" t="s">
        <v>491</v>
      </c>
      <c r="F44" s="2"/>
      <c r="G44" s="2" t="s">
        <v>16</v>
      </c>
      <c r="H44" s="2">
        <v>68</v>
      </c>
      <c r="I44" s="2">
        <v>66</v>
      </c>
      <c r="J44" s="2">
        <v>67</v>
      </c>
      <c r="K44" s="2">
        <v>79</v>
      </c>
      <c r="L44" s="2">
        <v>53</v>
      </c>
      <c r="M44" s="2" t="s">
        <v>19</v>
      </c>
      <c r="N44" s="2" t="s">
        <v>21</v>
      </c>
      <c r="O44" s="2">
        <v>333</v>
      </c>
      <c r="P44" s="2">
        <v>66.599999999999994</v>
      </c>
      <c r="Q44" s="2">
        <v>29</v>
      </c>
      <c r="R44" s="2" t="s">
        <v>20</v>
      </c>
      <c r="S44" s="2"/>
    </row>
    <row r="45" spans="1:19" x14ac:dyDescent="0.25">
      <c r="A45" s="1"/>
      <c r="B45" s="2"/>
      <c r="C45" s="2"/>
      <c r="D45" s="2"/>
      <c r="E45" s="2"/>
      <c r="F45" s="2"/>
      <c r="G45" s="2" t="s">
        <v>17</v>
      </c>
      <c r="H45" s="2">
        <v>86</v>
      </c>
      <c r="I45" s="2">
        <v>67</v>
      </c>
      <c r="J45" s="2">
        <v>75</v>
      </c>
      <c r="K45" s="2">
        <v>51</v>
      </c>
      <c r="L45" s="2">
        <v>64</v>
      </c>
      <c r="M45" s="2" t="s">
        <v>19</v>
      </c>
      <c r="N45" s="2" t="s">
        <v>21</v>
      </c>
      <c r="O45" s="2">
        <v>343</v>
      </c>
      <c r="P45" s="2">
        <v>68.599999999999994</v>
      </c>
      <c r="Q45" s="2"/>
      <c r="R45" s="2"/>
      <c r="S45" s="2"/>
    </row>
    <row r="46" spans="1:19" x14ac:dyDescent="0.25">
      <c r="A46" s="1">
        <v>23</v>
      </c>
      <c r="B46" s="2" t="s">
        <v>124</v>
      </c>
      <c r="C46" s="2">
        <v>7</v>
      </c>
      <c r="D46" s="2" t="s">
        <v>42</v>
      </c>
      <c r="E46" s="40" t="s">
        <v>492</v>
      </c>
      <c r="F46" s="2"/>
      <c r="G46" s="2" t="s">
        <v>16</v>
      </c>
      <c r="H46" s="2">
        <v>91</v>
      </c>
      <c r="I46" s="2">
        <v>72</v>
      </c>
      <c r="J46" s="2">
        <v>75</v>
      </c>
      <c r="K46" s="2">
        <v>85</v>
      </c>
      <c r="L46" s="2">
        <v>80</v>
      </c>
      <c r="M46" s="2" t="s">
        <v>20</v>
      </c>
      <c r="N46" s="2" t="s">
        <v>126</v>
      </c>
      <c r="O46" s="2">
        <v>403</v>
      </c>
      <c r="P46" s="2">
        <v>80.599999999999994</v>
      </c>
      <c r="Q46" s="2">
        <v>20</v>
      </c>
      <c r="R46" s="2" t="s">
        <v>20</v>
      </c>
      <c r="S46" s="2"/>
    </row>
    <row r="47" spans="1:19" x14ac:dyDescent="0.25">
      <c r="A47" s="1"/>
      <c r="B47" s="2"/>
      <c r="C47" s="2"/>
      <c r="D47" s="2"/>
      <c r="E47" s="2"/>
      <c r="F47" s="2"/>
      <c r="G47" s="2" t="s">
        <v>17</v>
      </c>
      <c r="H47" s="2">
        <v>94</v>
      </c>
      <c r="I47" s="2">
        <v>96</v>
      </c>
      <c r="J47" s="2">
        <v>92</v>
      </c>
      <c r="K47" s="2">
        <v>100</v>
      </c>
      <c r="L47" s="2">
        <v>57</v>
      </c>
      <c r="M47" s="2" t="s">
        <v>19</v>
      </c>
      <c r="N47" s="2" t="s">
        <v>19</v>
      </c>
      <c r="O47" s="2">
        <v>439</v>
      </c>
      <c r="P47" s="2">
        <v>87.8</v>
      </c>
      <c r="Q47" s="2"/>
      <c r="R47" s="2"/>
      <c r="S47" s="2"/>
    </row>
    <row r="48" spans="1:19" x14ac:dyDescent="0.25">
      <c r="A48" s="1">
        <v>24</v>
      </c>
      <c r="B48" s="2" t="s">
        <v>125</v>
      </c>
      <c r="C48" s="2">
        <v>8</v>
      </c>
      <c r="D48" s="2" t="s">
        <v>42</v>
      </c>
      <c r="E48" s="40" t="s">
        <v>493</v>
      </c>
      <c r="F48" s="2"/>
      <c r="G48" s="2" t="s">
        <v>16</v>
      </c>
      <c r="H48" s="2">
        <v>62</v>
      </c>
      <c r="I48" s="2">
        <v>83</v>
      </c>
      <c r="J48" s="2">
        <v>79</v>
      </c>
      <c r="K48" s="2">
        <v>83</v>
      </c>
      <c r="L48" s="2">
        <v>73</v>
      </c>
      <c r="M48" s="2" t="s">
        <v>19</v>
      </c>
      <c r="N48" s="2" t="s">
        <v>21</v>
      </c>
      <c r="O48" s="2">
        <v>380</v>
      </c>
      <c r="P48" s="2">
        <v>76</v>
      </c>
      <c r="Q48" s="2">
        <v>22</v>
      </c>
      <c r="R48" s="2" t="s">
        <v>20</v>
      </c>
      <c r="S48" s="2"/>
    </row>
    <row r="49" spans="1:19" x14ac:dyDescent="0.25">
      <c r="A49" s="1"/>
      <c r="B49" s="2"/>
      <c r="C49" s="2"/>
      <c r="D49" s="2"/>
      <c r="E49" s="2"/>
      <c r="F49" s="2"/>
      <c r="G49" s="2" t="s">
        <v>17</v>
      </c>
      <c r="H49" s="2">
        <v>85</v>
      </c>
      <c r="I49" s="2">
        <v>87</v>
      </c>
      <c r="J49" s="2">
        <v>82</v>
      </c>
      <c r="K49" s="2">
        <v>78</v>
      </c>
      <c r="L49" s="2">
        <v>77</v>
      </c>
      <c r="M49" s="2" t="s">
        <v>19</v>
      </c>
      <c r="N49" s="2" t="s">
        <v>19</v>
      </c>
      <c r="O49" s="2">
        <v>409</v>
      </c>
      <c r="P49" s="2">
        <v>81.8</v>
      </c>
      <c r="Q49" s="2"/>
      <c r="R49" s="2"/>
      <c r="S49" s="2"/>
    </row>
    <row r="50" spans="1:19" x14ac:dyDescent="0.25">
      <c r="A50" s="1">
        <v>25</v>
      </c>
      <c r="B50" s="2" t="s">
        <v>127</v>
      </c>
      <c r="C50" s="2">
        <v>9</v>
      </c>
      <c r="D50" s="2" t="s">
        <v>42</v>
      </c>
      <c r="E50" s="42" t="s">
        <v>494</v>
      </c>
      <c r="F50" s="2"/>
      <c r="G50" s="2" t="s">
        <v>16</v>
      </c>
      <c r="H50" s="2">
        <v>81</v>
      </c>
      <c r="I50" s="2">
        <v>91</v>
      </c>
      <c r="J50" s="2">
        <v>94</v>
      </c>
      <c r="K50" s="2">
        <v>95</v>
      </c>
      <c r="L50" s="2">
        <v>94</v>
      </c>
      <c r="M50" s="2" t="s">
        <v>20</v>
      </c>
      <c r="N50" s="2" t="s">
        <v>21</v>
      </c>
      <c r="O50" s="2">
        <v>455</v>
      </c>
      <c r="P50" s="2">
        <v>91</v>
      </c>
      <c r="Q50" s="2">
        <v>9</v>
      </c>
      <c r="R50" s="2" t="s">
        <v>20</v>
      </c>
      <c r="S50" s="2"/>
    </row>
    <row r="51" spans="1:19" x14ac:dyDescent="0.25">
      <c r="A51" s="1"/>
      <c r="B51" s="2"/>
      <c r="C51" s="2"/>
      <c r="D51" s="2"/>
      <c r="E51" s="2"/>
      <c r="F51" s="2"/>
      <c r="G51" s="2" t="s">
        <v>17</v>
      </c>
      <c r="H51" s="2">
        <v>99</v>
      </c>
      <c r="I51" s="2">
        <v>96</v>
      </c>
      <c r="J51" s="2">
        <v>89</v>
      </c>
      <c r="K51" s="2">
        <v>100</v>
      </c>
      <c r="L51" s="2">
        <v>95</v>
      </c>
      <c r="M51" s="2"/>
      <c r="N51" s="2" t="s">
        <v>19</v>
      </c>
      <c r="O51" s="2">
        <v>479</v>
      </c>
      <c r="P51" s="2">
        <v>95.8</v>
      </c>
      <c r="Q51" s="2"/>
      <c r="R51" s="2"/>
      <c r="S51" s="2"/>
    </row>
    <row r="52" spans="1:19" x14ac:dyDescent="0.25">
      <c r="A52" s="1">
        <v>26</v>
      </c>
      <c r="B52" s="2" t="s">
        <v>128</v>
      </c>
      <c r="C52" s="2">
        <v>8</v>
      </c>
      <c r="D52" s="2" t="s">
        <v>43</v>
      </c>
      <c r="E52" s="42" t="s">
        <v>495</v>
      </c>
      <c r="F52" s="2"/>
      <c r="G52" s="2" t="s">
        <v>16</v>
      </c>
      <c r="H52" s="2">
        <v>75</v>
      </c>
      <c r="I52" s="2">
        <v>95</v>
      </c>
      <c r="J52" s="2">
        <v>93</v>
      </c>
      <c r="K52" s="2">
        <v>99</v>
      </c>
      <c r="L52" s="2">
        <v>98</v>
      </c>
      <c r="M52" s="2" t="s">
        <v>20</v>
      </c>
      <c r="N52" s="2" t="s">
        <v>23</v>
      </c>
      <c r="O52" s="2">
        <v>460</v>
      </c>
      <c r="P52" s="2">
        <v>92</v>
      </c>
      <c r="Q52" s="2">
        <v>5</v>
      </c>
      <c r="R52" s="2" t="s">
        <v>23</v>
      </c>
      <c r="S52" s="2"/>
    </row>
    <row r="53" spans="1:19" x14ac:dyDescent="0.25">
      <c r="A53" s="1"/>
      <c r="B53" s="2"/>
      <c r="C53" s="2"/>
      <c r="D53" s="2"/>
      <c r="E53" s="2"/>
      <c r="F53" s="2"/>
      <c r="G53" s="2" t="s">
        <v>17</v>
      </c>
      <c r="H53" s="2">
        <v>95</v>
      </c>
      <c r="I53" s="2">
        <v>100</v>
      </c>
      <c r="J53" s="2">
        <v>100</v>
      </c>
      <c r="K53" s="2">
        <v>100</v>
      </c>
      <c r="L53" s="2">
        <v>99</v>
      </c>
      <c r="M53" s="2"/>
      <c r="N53" s="2" t="s">
        <v>23</v>
      </c>
      <c r="O53" s="2">
        <v>494</v>
      </c>
      <c r="P53" s="2">
        <v>98.8</v>
      </c>
      <c r="Q53" s="2"/>
      <c r="R53" s="2"/>
      <c r="S53" s="2"/>
    </row>
    <row r="54" spans="1:19" x14ac:dyDescent="0.25">
      <c r="A54" s="1">
        <v>27</v>
      </c>
      <c r="B54" s="2" t="s">
        <v>129</v>
      </c>
      <c r="C54" s="2">
        <v>8</v>
      </c>
      <c r="D54" s="2" t="s">
        <v>43</v>
      </c>
      <c r="E54" s="42" t="s">
        <v>496</v>
      </c>
      <c r="F54" s="2"/>
      <c r="G54" s="2" t="s">
        <v>16</v>
      </c>
      <c r="H54" s="2">
        <v>81</v>
      </c>
      <c r="I54" s="2">
        <v>82</v>
      </c>
      <c r="J54" s="2">
        <v>89</v>
      </c>
      <c r="K54" s="2">
        <v>88</v>
      </c>
      <c r="L54" s="2">
        <v>92</v>
      </c>
      <c r="M54" s="2" t="s">
        <v>20</v>
      </c>
      <c r="N54" s="2" t="s">
        <v>21</v>
      </c>
      <c r="O54" s="2">
        <v>432</v>
      </c>
      <c r="P54" s="2">
        <v>86.4</v>
      </c>
      <c r="Q54" s="2">
        <v>12</v>
      </c>
      <c r="R54" s="2" t="s">
        <v>20</v>
      </c>
      <c r="S54" s="2"/>
    </row>
    <row r="55" spans="1:19" x14ac:dyDescent="0.25">
      <c r="A55" s="1"/>
      <c r="B55" s="2"/>
      <c r="C55" s="2"/>
      <c r="D55" s="2"/>
      <c r="E55" s="2"/>
      <c r="F55" s="2"/>
      <c r="G55" s="2" t="s">
        <v>17</v>
      </c>
      <c r="H55" s="2">
        <v>80</v>
      </c>
      <c r="I55" s="2">
        <v>82</v>
      </c>
      <c r="J55" s="2">
        <v>88</v>
      </c>
      <c r="K55" s="2">
        <v>91</v>
      </c>
      <c r="L55" s="2">
        <v>71</v>
      </c>
      <c r="M55" s="2" t="s">
        <v>20</v>
      </c>
      <c r="N55" s="2" t="s">
        <v>19</v>
      </c>
      <c r="O55" s="2">
        <v>412</v>
      </c>
      <c r="P55" s="2">
        <v>82.4</v>
      </c>
      <c r="Q55" s="2"/>
      <c r="R55" s="2"/>
      <c r="S55" s="2"/>
    </row>
    <row r="56" spans="1:19" x14ac:dyDescent="0.25">
      <c r="A56" s="1">
        <v>28</v>
      </c>
      <c r="B56" s="2" t="s">
        <v>130</v>
      </c>
      <c r="C56" s="2">
        <v>8</v>
      </c>
      <c r="D56" s="2" t="s">
        <v>42</v>
      </c>
      <c r="E56" s="42" t="s">
        <v>497</v>
      </c>
      <c r="F56" s="2"/>
      <c r="G56" s="2" t="s">
        <v>16</v>
      </c>
      <c r="H56" s="2">
        <v>80</v>
      </c>
      <c r="I56" s="2">
        <v>93</v>
      </c>
      <c r="J56" s="2">
        <v>96</v>
      </c>
      <c r="K56" s="2">
        <v>100</v>
      </c>
      <c r="L56" s="2">
        <v>91</v>
      </c>
      <c r="M56" s="2" t="s">
        <v>20</v>
      </c>
      <c r="N56" s="2" t="s">
        <v>21</v>
      </c>
      <c r="O56" s="2">
        <v>460</v>
      </c>
      <c r="P56" s="2">
        <v>92</v>
      </c>
      <c r="Q56" s="2">
        <v>5</v>
      </c>
      <c r="R56" s="2" t="s">
        <v>20</v>
      </c>
      <c r="S56" s="2"/>
    </row>
    <row r="57" spans="1:19" x14ac:dyDescent="0.25">
      <c r="A57" s="1"/>
      <c r="B57" s="2"/>
      <c r="C57" s="2"/>
      <c r="D57" s="2"/>
      <c r="E57" s="2"/>
      <c r="F57" s="2"/>
      <c r="G57" s="2" t="s">
        <v>17</v>
      </c>
      <c r="H57" s="2">
        <v>91</v>
      </c>
      <c r="I57" s="2">
        <v>96</v>
      </c>
      <c r="J57" s="2">
        <v>97</v>
      </c>
      <c r="K57" s="2">
        <v>92</v>
      </c>
      <c r="L57" s="2">
        <v>86</v>
      </c>
      <c r="M57" s="2" t="s">
        <v>20</v>
      </c>
      <c r="N57" s="2" t="s">
        <v>20</v>
      </c>
      <c r="O57" s="2">
        <v>462</v>
      </c>
      <c r="P57" s="2">
        <v>92.4</v>
      </c>
      <c r="Q57" s="2"/>
      <c r="R57" s="2"/>
      <c r="S57" s="2"/>
    </row>
    <row r="58" spans="1:19" x14ac:dyDescent="0.25">
      <c r="A58" s="1">
        <v>29</v>
      </c>
      <c r="B58" s="2" t="s">
        <v>131</v>
      </c>
      <c r="C58" s="2">
        <v>8</v>
      </c>
      <c r="D58" s="2" t="s">
        <v>42</v>
      </c>
      <c r="E58" s="43" t="s">
        <v>498</v>
      </c>
      <c r="F58" s="2"/>
      <c r="G58" s="2" t="s">
        <v>16</v>
      </c>
      <c r="H58" s="2">
        <v>92</v>
      </c>
      <c r="I58" s="2">
        <v>96</v>
      </c>
      <c r="J58" s="2">
        <v>98</v>
      </c>
      <c r="K58" s="2">
        <v>100</v>
      </c>
      <c r="L58" s="2">
        <v>97</v>
      </c>
      <c r="M58" s="2" t="s">
        <v>20</v>
      </c>
      <c r="N58" s="2" t="s">
        <v>23</v>
      </c>
      <c r="O58" s="2">
        <v>488</v>
      </c>
      <c r="P58" s="2">
        <v>96.6</v>
      </c>
      <c r="Q58" s="2">
        <v>1</v>
      </c>
      <c r="R58" s="2" t="s">
        <v>23</v>
      </c>
      <c r="S58" s="2"/>
    </row>
    <row r="59" spans="1:19" x14ac:dyDescent="0.25">
      <c r="A59" s="1"/>
      <c r="B59" s="2"/>
      <c r="C59" s="2"/>
      <c r="D59" s="2"/>
      <c r="E59" s="2"/>
      <c r="F59" s="2"/>
      <c r="G59" s="2" t="s">
        <v>17</v>
      </c>
      <c r="H59" s="2">
        <v>99</v>
      </c>
      <c r="I59" s="2">
        <v>98</v>
      </c>
      <c r="J59" s="2">
        <v>99</v>
      </c>
      <c r="K59" s="2">
        <v>100</v>
      </c>
      <c r="L59" s="2">
        <v>89</v>
      </c>
      <c r="M59" s="2" t="s">
        <v>20</v>
      </c>
      <c r="N59" s="2" t="s">
        <v>20</v>
      </c>
      <c r="O59" s="2">
        <v>485</v>
      </c>
      <c r="P59" s="2">
        <v>97</v>
      </c>
      <c r="Q59" s="2"/>
      <c r="R59" s="2"/>
      <c r="S59" s="2"/>
    </row>
    <row r="60" spans="1:19" x14ac:dyDescent="0.25">
      <c r="A60" s="1">
        <v>30</v>
      </c>
      <c r="B60" s="2" t="s">
        <v>132</v>
      </c>
      <c r="C60" s="2">
        <v>8</v>
      </c>
      <c r="D60" s="2" t="s">
        <v>42</v>
      </c>
      <c r="E60" s="40" t="s">
        <v>499</v>
      </c>
      <c r="F60" s="2"/>
      <c r="G60" s="2" t="s">
        <v>16</v>
      </c>
      <c r="H60" s="2">
        <v>74</v>
      </c>
      <c r="I60" s="2">
        <v>66</v>
      </c>
      <c r="J60" s="2">
        <v>72</v>
      </c>
      <c r="K60" s="2">
        <v>91</v>
      </c>
      <c r="L60" s="2">
        <v>72</v>
      </c>
      <c r="M60" s="2" t="s">
        <v>19</v>
      </c>
      <c r="N60" s="2" t="s">
        <v>21</v>
      </c>
      <c r="O60" s="2">
        <v>375</v>
      </c>
      <c r="P60" s="2">
        <v>75</v>
      </c>
      <c r="Q60" s="2">
        <v>25</v>
      </c>
      <c r="R60" s="2" t="s">
        <v>20</v>
      </c>
      <c r="S60" s="2"/>
    </row>
    <row r="61" spans="1:19" x14ac:dyDescent="0.25">
      <c r="A61" s="1"/>
      <c r="B61" s="2"/>
      <c r="C61" s="2"/>
      <c r="D61" s="2"/>
      <c r="E61" s="2"/>
      <c r="F61" s="2"/>
      <c r="G61" s="2" t="s">
        <v>17</v>
      </c>
      <c r="H61" s="2">
        <v>75</v>
      </c>
      <c r="I61" s="2">
        <v>73</v>
      </c>
      <c r="J61" s="2">
        <v>69</v>
      </c>
      <c r="K61" s="2">
        <v>96</v>
      </c>
      <c r="L61" s="2">
        <v>60</v>
      </c>
      <c r="M61" s="2" t="s">
        <v>19</v>
      </c>
      <c r="N61" s="2" t="s">
        <v>19</v>
      </c>
      <c r="O61" s="2">
        <v>373</v>
      </c>
      <c r="P61" s="2">
        <v>74.599999999999994</v>
      </c>
      <c r="Q61" s="2"/>
      <c r="R61" s="2"/>
      <c r="S61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T69"/>
  <sheetViews>
    <sheetView topLeftCell="C26" zoomScale="85" zoomScaleNormal="85" zoomScalePageLayoutView="85" workbookViewId="0">
      <selection activeCell="R26" sqref="R26"/>
    </sheetView>
  </sheetViews>
  <sheetFormatPr defaultColWidth="11.125" defaultRowHeight="15.75" x14ac:dyDescent="0.25"/>
  <cols>
    <col min="1" max="1" width="7.5" customWidth="1"/>
    <col min="2" max="2" width="25.625" customWidth="1"/>
    <col min="3" max="3" width="8.625" bestFit="1" customWidth="1"/>
    <col min="4" max="4" width="8.5" customWidth="1"/>
    <col min="5" max="5" width="10.625" bestFit="1" customWidth="1"/>
    <col min="6" max="6" width="8.5" customWidth="1"/>
  </cols>
  <sheetData>
    <row r="1" spans="1:20" ht="132.75" x14ac:dyDescent="0.25">
      <c r="A1" s="5" t="s">
        <v>0</v>
      </c>
      <c r="B1" s="6" t="s">
        <v>4</v>
      </c>
      <c r="C1" s="6" t="s">
        <v>3</v>
      </c>
      <c r="D1" s="6" t="s">
        <v>2</v>
      </c>
      <c r="E1" s="6" t="s">
        <v>383</v>
      </c>
      <c r="F1" s="6" t="s">
        <v>387</v>
      </c>
      <c r="G1" s="6" t="s">
        <v>1</v>
      </c>
      <c r="H1" s="6" t="s">
        <v>5</v>
      </c>
      <c r="I1" s="6" t="s">
        <v>6</v>
      </c>
      <c r="J1" s="6" t="s">
        <v>7</v>
      </c>
      <c r="K1" s="6" t="s">
        <v>736</v>
      </c>
      <c r="L1" s="6" t="s">
        <v>8</v>
      </c>
      <c r="M1" s="52" t="s">
        <v>735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7"/>
    </row>
    <row r="2" spans="1:20" x14ac:dyDescent="0.25">
      <c r="A2" s="1">
        <v>1</v>
      </c>
      <c r="B2" s="2" t="s">
        <v>133</v>
      </c>
      <c r="C2" s="2"/>
      <c r="D2" s="2" t="s">
        <v>42</v>
      </c>
      <c r="E2" s="40" t="s">
        <v>500</v>
      </c>
      <c r="F2" s="2"/>
      <c r="G2" s="2" t="s">
        <v>16</v>
      </c>
      <c r="H2" s="2">
        <v>100</v>
      </c>
      <c r="I2" s="2">
        <v>68</v>
      </c>
      <c r="J2" s="2">
        <v>88</v>
      </c>
      <c r="K2" s="2">
        <v>73</v>
      </c>
      <c r="L2" s="2">
        <v>88</v>
      </c>
      <c r="M2" s="2" t="s">
        <v>20</v>
      </c>
      <c r="N2" s="2" t="s">
        <v>21</v>
      </c>
      <c r="O2" s="2">
        <v>417</v>
      </c>
      <c r="P2" s="2">
        <v>83.4</v>
      </c>
      <c r="Q2" s="2"/>
      <c r="R2" s="2" t="s">
        <v>19</v>
      </c>
      <c r="S2" s="2"/>
    </row>
    <row r="3" spans="1:20" x14ac:dyDescent="0.25">
      <c r="A3" s="1"/>
      <c r="B3" s="2"/>
      <c r="C3" s="2"/>
      <c r="D3" s="2"/>
      <c r="E3" s="2"/>
      <c r="F3" s="2"/>
      <c r="G3" s="2" t="s">
        <v>17</v>
      </c>
      <c r="H3" s="2">
        <v>92</v>
      </c>
      <c r="I3" s="2">
        <v>64</v>
      </c>
      <c r="J3" s="2">
        <v>71</v>
      </c>
      <c r="K3" s="2">
        <v>65</v>
      </c>
      <c r="L3" s="2">
        <v>67</v>
      </c>
      <c r="M3" s="2" t="s">
        <v>20</v>
      </c>
      <c r="N3" s="2" t="s">
        <v>21</v>
      </c>
      <c r="O3" s="2">
        <v>359</v>
      </c>
      <c r="P3" s="2">
        <v>71.8</v>
      </c>
      <c r="Q3" s="2"/>
      <c r="R3" s="2" t="s">
        <v>19</v>
      </c>
      <c r="S3" s="2"/>
    </row>
    <row r="4" spans="1:20" x14ac:dyDescent="0.25">
      <c r="A4" s="1">
        <v>2</v>
      </c>
      <c r="B4" s="9" t="s">
        <v>134</v>
      </c>
      <c r="C4" s="9"/>
      <c r="D4" s="2" t="s">
        <v>43</v>
      </c>
      <c r="E4" s="40" t="s">
        <v>501</v>
      </c>
      <c r="F4" s="2"/>
      <c r="G4" s="2" t="s">
        <v>16</v>
      </c>
      <c r="H4" s="2">
        <v>92</v>
      </c>
      <c r="I4" s="2">
        <v>81</v>
      </c>
      <c r="J4" s="2">
        <v>85</v>
      </c>
      <c r="K4" s="2">
        <v>89</v>
      </c>
      <c r="L4" s="2">
        <v>95</v>
      </c>
      <c r="M4" s="2" t="s">
        <v>19</v>
      </c>
      <c r="N4" s="2" t="s">
        <v>19</v>
      </c>
      <c r="O4" s="2">
        <v>442</v>
      </c>
      <c r="P4" s="2">
        <v>88.4</v>
      </c>
      <c r="Q4" s="2"/>
      <c r="R4" s="2"/>
      <c r="S4" s="2"/>
    </row>
    <row r="5" spans="1:20" x14ac:dyDescent="0.25">
      <c r="A5" s="1"/>
      <c r="B5" s="2"/>
      <c r="C5" s="2"/>
      <c r="D5" s="2"/>
      <c r="E5" s="2"/>
      <c r="F5" s="2"/>
      <c r="G5" s="2" t="s">
        <v>17</v>
      </c>
      <c r="H5" s="2">
        <v>93</v>
      </c>
      <c r="I5" s="2">
        <v>79</v>
      </c>
      <c r="J5" s="2">
        <v>78</v>
      </c>
      <c r="K5" s="2">
        <v>91</v>
      </c>
      <c r="L5" s="2">
        <v>95</v>
      </c>
      <c r="M5" s="2" t="s">
        <v>20</v>
      </c>
      <c r="N5" s="2" t="s">
        <v>19</v>
      </c>
      <c r="O5" s="2">
        <v>436</v>
      </c>
      <c r="P5" s="2">
        <v>87.2</v>
      </c>
      <c r="Q5" s="2"/>
      <c r="R5" s="2"/>
      <c r="S5" s="2"/>
    </row>
    <row r="6" spans="1:20" x14ac:dyDescent="0.25">
      <c r="A6" s="1">
        <v>3</v>
      </c>
      <c r="B6" s="2" t="s">
        <v>135</v>
      </c>
      <c r="C6" s="2"/>
      <c r="D6" s="2" t="s">
        <v>43</v>
      </c>
      <c r="E6" s="40" t="s">
        <v>502</v>
      </c>
      <c r="F6" s="2"/>
      <c r="G6" s="2" t="s">
        <v>16</v>
      </c>
      <c r="H6" s="2">
        <v>94</v>
      </c>
      <c r="I6" s="2">
        <v>55</v>
      </c>
      <c r="J6" s="2">
        <v>73</v>
      </c>
      <c r="K6" s="2">
        <v>76</v>
      </c>
      <c r="L6" s="2">
        <v>86</v>
      </c>
      <c r="M6" s="2" t="s">
        <v>19</v>
      </c>
      <c r="N6" s="2" t="s">
        <v>21</v>
      </c>
      <c r="O6" s="2">
        <v>384</v>
      </c>
      <c r="P6" s="2">
        <v>76.8</v>
      </c>
      <c r="Q6" s="2"/>
      <c r="R6" s="2"/>
      <c r="S6" s="2"/>
    </row>
    <row r="7" spans="1:20" x14ac:dyDescent="0.25">
      <c r="A7" s="1"/>
      <c r="B7" s="2"/>
      <c r="C7" s="2"/>
      <c r="D7" s="2"/>
      <c r="E7" s="2"/>
      <c r="F7" s="2"/>
      <c r="G7" s="2" t="s">
        <v>17</v>
      </c>
      <c r="H7" s="2">
        <v>86</v>
      </c>
      <c r="I7" s="2">
        <v>49</v>
      </c>
      <c r="J7" s="2">
        <v>66</v>
      </c>
      <c r="K7" s="2">
        <v>73</v>
      </c>
      <c r="L7" s="2">
        <v>85</v>
      </c>
      <c r="M7" s="2" t="s">
        <v>19</v>
      </c>
      <c r="N7" s="2" t="s">
        <v>19</v>
      </c>
      <c r="O7" s="2">
        <v>359</v>
      </c>
      <c r="P7" s="2">
        <v>71.8</v>
      </c>
      <c r="Q7" s="2"/>
      <c r="R7" s="2" t="s">
        <v>20</v>
      </c>
      <c r="S7" s="2"/>
    </row>
    <row r="8" spans="1:20" x14ac:dyDescent="0.25">
      <c r="A8" s="1">
        <v>4</v>
      </c>
      <c r="B8" s="2" t="s">
        <v>136</v>
      </c>
      <c r="C8" s="2"/>
      <c r="D8" s="2"/>
      <c r="E8" s="40" t="s">
        <v>503</v>
      </c>
      <c r="F8" s="2"/>
      <c r="G8" s="2" t="s">
        <v>16</v>
      </c>
      <c r="H8" s="2">
        <v>60</v>
      </c>
      <c r="I8" s="2">
        <v>44</v>
      </c>
      <c r="J8" s="2">
        <v>59</v>
      </c>
      <c r="K8" s="2">
        <v>52</v>
      </c>
      <c r="L8" s="2">
        <v>55</v>
      </c>
      <c r="M8" s="2" t="s">
        <v>19</v>
      </c>
      <c r="N8" s="2" t="s">
        <v>21</v>
      </c>
      <c r="O8" s="2">
        <v>270</v>
      </c>
      <c r="P8" s="2">
        <v>54</v>
      </c>
      <c r="Q8" s="2"/>
      <c r="R8" s="2"/>
      <c r="S8" s="2"/>
    </row>
    <row r="9" spans="1:20" x14ac:dyDescent="0.25">
      <c r="A9" s="1"/>
      <c r="B9" s="2"/>
      <c r="C9" s="2"/>
      <c r="D9" s="2"/>
      <c r="E9" s="2"/>
      <c r="F9" s="2"/>
      <c r="G9" s="2" t="s">
        <v>17</v>
      </c>
      <c r="H9" s="2">
        <v>62</v>
      </c>
      <c r="I9" s="2">
        <v>68</v>
      </c>
      <c r="J9" s="2">
        <v>58</v>
      </c>
      <c r="K9" s="2">
        <v>56</v>
      </c>
      <c r="L9" s="2">
        <v>53</v>
      </c>
      <c r="M9" s="2" t="s">
        <v>19</v>
      </c>
      <c r="N9" s="2" t="s">
        <v>21</v>
      </c>
      <c r="O9" s="2">
        <v>297</v>
      </c>
      <c r="P9" s="2">
        <v>59.4</v>
      </c>
      <c r="Q9" s="2"/>
      <c r="R9" s="2"/>
      <c r="S9" s="2"/>
    </row>
    <row r="10" spans="1:20" x14ac:dyDescent="0.25">
      <c r="A10" s="1">
        <v>5</v>
      </c>
      <c r="B10" s="2" t="s">
        <v>137</v>
      </c>
      <c r="C10" s="2"/>
      <c r="D10" s="2" t="s">
        <v>42</v>
      </c>
      <c r="E10" s="40" t="s">
        <v>504</v>
      </c>
      <c r="F10" s="2"/>
      <c r="G10" s="2" t="s">
        <v>16</v>
      </c>
      <c r="H10" s="2">
        <v>87</v>
      </c>
      <c r="I10" s="2">
        <v>91</v>
      </c>
      <c r="J10" s="2">
        <v>90</v>
      </c>
      <c r="K10" s="2">
        <v>82</v>
      </c>
      <c r="L10" s="2">
        <v>94</v>
      </c>
      <c r="M10" s="2" t="s">
        <v>20</v>
      </c>
      <c r="N10" s="2" t="s">
        <v>19</v>
      </c>
      <c r="O10" s="2">
        <v>444</v>
      </c>
      <c r="P10" s="2">
        <v>88.8</v>
      </c>
      <c r="Q10" s="2"/>
      <c r="R10" s="2"/>
      <c r="S10" s="2"/>
    </row>
    <row r="11" spans="1:20" x14ac:dyDescent="0.25">
      <c r="A11" s="1"/>
      <c r="B11" s="2"/>
      <c r="C11" s="2"/>
      <c r="D11" s="2"/>
      <c r="E11" s="2"/>
      <c r="F11" s="2"/>
      <c r="G11" s="2" t="s">
        <v>17</v>
      </c>
      <c r="H11" s="2">
        <v>89</v>
      </c>
      <c r="I11" s="2">
        <v>87</v>
      </c>
      <c r="J11" s="2">
        <v>92</v>
      </c>
      <c r="K11" s="2">
        <v>70</v>
      </c>
      <c r="L11" s="2">
        <v>88</v>
      </c>
      <c r="M11" s="2" t="s">
        <v>20</v>
      </c>
      <c r="N11" s="2" t="s">
        <v>20</v>
      </c>
      <c r="O11" s="2">
        <v>426</v>
      </c>
      <c r="P11" s="2">
        <v>85.2</v>
      </c>
      <c r="Q11" s="2"/>
      <c r="R11" s="2"/>
      <c r="S11" s="2"/>
    </row>
    <row r="12" spans="1:20" x14ac:dyDescent="0.25">
      <c r="A12" s="1">
        <v>6</v>
      </c>
      <c r="B12" s="9" t="s">
        <v>138</v>
      </c>
      <c r="C12" s="9"/>
      <c r="D12" s="2" t="s">
        <v>43</v>
      </c>
      <c r="E12" s="41" t="s">
        <v>505</v>
      </c>
      <c r="F12" s="2"/>
      <c r="G12" s="2" t="s">
        <v>16</v>
      </c>
      <c r="H12" s="2">
        <v>95</v>
      </c>
      <c r="I12" s="2">
        <v>77</v>
      </c>
      <c r="J12" s="2">
        <v>91</v>
      </c>
      <c r="K12" s="2">
        <v>77</v>
      </c>
      <c r="L12" s="2">
        <v>89</v>
      </c>
      <c r="M12" s="2" t="s">
        <v>20</v>
      </c>
      <c r="N12" s="2" t="s">
        <v>20</v>
      </c>
      <c r="O12" s="2">
        <v>429</v>
      </c>
      <c r="P12" s="2">
        <v>85.8</v>
      </c>
      <c r="Q12" s="2"/>
      <c r="R12" s="2"/>
      <c r="S12" s="2"/>
    </row>
    <row r="13" spans="1:20" x14ac:dyDescent="0.25">
      <c r="A13" s="1"/>
      <c r="B13" s="2"/>
      <c r="C13" s="2"/>
      <c r="D13" s="2"/>
      <c r="E13" s="2"/>
      <c r="F13" s="2"/>
      <c r="G13" s="2" t="s">
        <v>17</v>
      </c>
      <c r="H13" s="2">
        <v>97</v>
      </c>
      <c r="I13" s="2">
        <v>81</v>
      </c>
      <c r="J13" s="2">
        <v>82</v>
      </c>
      <c r="K13" s="2">
        <v>84</v>
      </c>
      <c r="L13" s="2">
        <v>91</v>
      </c>
      <c r="M13" s="2" t="s">
        <v>20</v>
      </c>
      <c r="N13" s="2" t="s">
        <v>19</v>
      </c>
      <c r="O13" s="2">
        <v>435</v>
      </c>
      <c r="P13" s="2">
        <v>87</v>
      </c>
      <c r="Q13" s="2"/>
      <c r="R13" s="2"/>
      <c r="S13" s="2"/>
    </row>
    <row r="14" spans="1:20" x14ac:dyDescent="0.25">
      <c r="A14" s="1">
        <v>7</v>
      </c>
      <c r="B14" s="2" t="s">
        <v>139</v>
      </c>
      <c r="C14" s="2"/>
      <c r="D14" s="2" t="s">
        <v>42</v>
      </c>
      <c r="E14" s="40" t="s">
        <v>506</v>
      </c>
      <c r="F14" s="2"/>
      <c r="G14" s="2" t="s">
        <v>16</v>
      </c>
      <c r="H14" s="2">
        <v>92</v>
      </c>
      <c r="I14" s="2">
        <v>91</v>
      </c>
      <c r="J14" s="2">
        <v>84</v>
      </c>
      <c r="K14" s="2">
        <v>80</v>
      </c>
      <c r="L14" s="2">
        <v>93</v>
      </c>
      <c r="M14" s="2" t="s">
        <v>19</v>
      </c>
      <c r="N14" s="2" t="s">
        <v>19</v>
      </c>
      <c r="O14" s="2">
        <v>440</v>
      </c>
      <c r="P14" s="2">
        <v>88</v>
      </c>
      <c r="Q14" s="2"/>
      <c r="R14" s="2" t="s">
        <v>20</v>
      </c>
      <c r="S14" s="2"/>
    </row>
    <row r="15" spans="1:20" x14ac:dyDescent="0.25">
      <c r="A15" s="1"/>
      <c r="B15" s="2"/>
      <c r="C15" s="2"/>
      <c r="D15" s="2"/>
      <c r="E15" s="2"/>
      <c r="F15" s="2"/>
      <c r="G15" s="2" t="s">
        <v>17</v>
      </c>
      <c r="H15" s="2">
        <v>94</v>
      </c>
      <c r="I15" s="2">
        <v>75</v>
      </c>
      <c r="J15" s="2">
        <v>88</v>
      </c>
      <c r="K15" s="2">
        <v>87</v>
      </c>
      <c r="L15" s="2">
        <v>92</v>
      </c>
      <c r="M15" s="2" t="s">
        <v>19</v>
      </c>
      <c r="N15" s="2" t="s">
        <v>21</v>
      </c>
      <c r="O15" s="2">
        <v>436</v>
      </c>
      <c r="P15" s="2">
        <v>87.2</v>
      </c>
      <c r="Q15" s="2"/>
      <c r="R15" s="2"/>
      <c r="S15" s="2"/>
    </row>
    <row r="16" spans="1:20" x14ac:dyDescent="0.25">
      <c r="A16" s="1">
        <v>8</v>
      </c>
      <c r="B16" s="9" t="s">
        <v>140</v>
      </c>
      <c r="C16" s="9"/>
      <c r="D16" s="2" t="s">
        <v>42</v>
      </c>
      <c r="E16" s="40" t="s">
        <v>507</v>
      </c>
      <c r="F16" s="2"/>
      <c r="G16" s="2" t="s">
        <v>16</v>
      </c>
      <c r="H16" s="2">
        <v>85</v>
      </c>
      <c r="I16" s="2">
        <v>63</v>
      </c>
      <c r="J16" s="2">
        <v>74</v>
      </c>
      <c r="K16" s="2">
        <v>73</v>
      </c>
      <c r="L16" s="2">
        <v>88</v>
      </c>
      <c r="M16" s="2" t="s">
        <v>19</v>
      </c>
      <c r="N16" s="2" t="s">
        <v>21</v>
      </c>
      <c r="O16" s="2">
        <v>383</v>
      </c>
      <c r="P16" s="2">
        <v>76.599999999999994</v>
      </c>
      <c r="Q16" s="2"/>
      <c r="R16" s="2"/>
      <c r="S16" s="2"/>
    </row>
    <row r="17" spans="1:19" x14ac:dyDescent="0.25">
      <c r="A17" s="1"/>
      <c r="B17" s="2"/>
      <c r="C17" s="2"/>
      <c r="D17" s="2"/>
      <c r="E17" s="2"/>
      <c r="F17" s="2"/>
      <c r="G17" s="2" t="s">
        <v>17</v>
      </c>
      <c r="H17" s="2">
        <v>93</v>
      </c>
      <c r="I17" s="2">
        <v>56</v>
      </c>
      <c r="J17" s="2">
        <v>58</v>
      </c>
      <c r="K17" s="2">
        <v>65</v>
      </c>
      <c r="L17" s="2">
        <v>86</v>
      </c>
      <c r="M17" s="2" t="s">
        <v>19</v>
      </c>
      <c r="N17" s="2" t="s">
        <v>19</v>
      </c>
      <c r="O17" s="2">
        <v>358</v>
      </c>
      <c r="P17" s="2">
        <v>71.599999999999994</v>
      </c>
      <c r="Q17" s="2"/>
      <c r="R17" s="2"/>
      <c r="S17" s="2"/>
    </row>
    <row r="18" spans="1:19" x14ac:dyDescent="0.25">
      <c r="A18" s="1">
        <v>9</v>
      </c>
      <c r="B18" s="2" t="s">
        <v>141</v>
      </c>
      <c r="C18" s="2"/>
      <c r="D18" s="2" t="s">
        <v>42</v>
      </c>
      <c r="E18" s="40" t="s">
        <v>508</v>
      </c>
      <c r="F18" s="2"/>
      <c r="G18" s="2" t="s">
        <v>16</v>
      </c>
      <c r="H18" s="2">
        <v>96</v>
      </c>
      <c r="I18" s="2">
        <v>93</v>
      </c>
      <c r="J18" s="2">
        <v>84</v>
      </c>
      <c r="K18" s="2">
        <v>80</v>
      </c>
      <c r="L18" s="2">
        <v>94</v>
      </c>
      <c r="M18" s="2" t="s">
        <v>20</v>
      </c>
      <c r="N18" s="2" t="s">
        <v>19</v>
      </c>
      <c r="O18" s="2">
        <v>447</v>
      </c>
      <c r="P18" s="2">
        <v>89.4</v>
      </c>
      <c r="Q18" s="2">
        <v>5</v>
      </c>
      <c r="R18" s="2" t="s">
        <v>20</v>
      </c>
      <c r="S18" s="2"/>
    </row>
    <row r="19" spans="1:19" x14ac:dyDescent="0.25">
      <c r="A19" s="1"/>
      <c r="B19" s="2"/>
      <c r="C19" s="2"/>
      <c r="D19" s="2"/>
      <c r="E19" s="2"/>
      <c r="F19" s="2"/>
      <c r="G19" s="2" t="s">
        <v>17</v>
      </c>
      <c r="H19" s="2">
        <v>95</v>
      </c>
      <c r="I19" s="2">
        <v>94</v>
      </c>
      <c r="J19" s="2">
        <v>85</v>
      </c>
      <c r="K19" s="2">
        <v>90</v>
      </c>
      <c r="L19" s="2">
        <v>89</v>
      </c>
      <c r="M19" s="2" t="s">
        <v>20</v>
      </c>
      <c r="N19" s="2" t="s">
        <v>21</v>
      </c>
      <c r="O19" s="2">
        <v>453</v>
      </c>
      <c r="P19" s="2">
        <v>90.6</v>
      </c>
      <c r="Q19" s="2">
        <v>7</v>
      </c>
      <c r="R19" s="2" t="s">
        <v>20</v>
      </c>
      <c r="S19" s="2"/>
    </row>
    <row r="20" spans="1:19" x14ac:dyDescent="0.25">
      <c r="A20" s="1">
        <v>10</v>
      </c>
      <c r="B20" s="2" t="s">
        <v>142</v>
      </c>
      <c r="C20" s="2"/>
      <c r="D20" s="2" t="s">
        <v>42</v>
      </c>
      <c r="E20" s="12" t="s">
        <v>707</v>
      </c>
      <c r="F20" s="2"/>
      <c r="G20" s="2" t="s">
        <v>16</v>
      </c>
      <c r="H20" s="2">
        <v>94</v>
      </c>
      <c r="I20" s="2">
        <v>71</v>
      </c>
      <c r="J20" s="2">
        <v>62</v>
      </c>
      <c r="K20" s="2">
        <v>63</v>
      </c>
      <c r="L20" s="2">
        <v>76</v>
      </c>
      <c r="M20" s="2" t="s">
        <v>19</v>
      </c>
      <c r="N20" s="2" t="s">
        <v>21</v>
      </c>
      <c r="O20" s="2">
        <v>366</v>
      </c>
      <c r="P20" s="2">
        <v>73.2</v>
      </c>
      <c r="Q20" s="2"/>
      <c r="R20" s="2" t="s">
        <v>20</v>
      </c>
      <c r="S20" s="2"/>
    </row>
    <row r="21" spans="1:19" x14ac:dyDescent="0.25">
      <c r="A21" s="1"/>
      <c r="B21" s="2"/>
      <c r="C21" s="2"/>
      <c r="D21" s="2"/>
      <c r="E21" s="2"/>
      <c r="F21" s="2"/>
      <c r="G21" s="2" t="s">
        <v>17</v>
      </c>
      <c r="H21" s="2">
        <v>82</v>
      </c>
      <c r="I21" s="2">
        <v>58</v>
      </c>
      <c r="J21" s="2">
        <v>64</v>
      </c>
      <c r="K21" s="2">
        <v>66</v>
      </c>
      <c r="L21" s="2">
        <v>59</v>
      </c>
      <c r="M21" s="2" t="s">
        <v>19</v>
      </c>
      <c r="N21" s="2" t="s">
        <v>21</v>
      </c>
      <c r="O21" s="2">
        <v>329</v>
      </c>
      <c r="P21" s="2">
        <v>65.8</v>
      </c>
      <c r="Q21" s="2"/>
      <c r="R21" s="2" t="s">
        <v>20</v>
      </c>
      <c r="S21" s="2"/>
    </row>
    <row r="22" spans="1:19" x14ac:dyDescent="0.25">
      <c r="A22" s="1">
        <v>11</v>
      </c>
      <c r="B22" s="2" t="s">
        <v>143</v>
      </c>
      <c r="C22" s="2"/>
      <c r="D22" s="2" t="s">
        <v>43</v>
      </c>
      <c r="E22" s="40" t="s">
        <v>509</v>
      </c>
      <c r="F22" s="2"/>
      <c r="G22" s="2" t="s">
        <v>16</v>
      </c>
      <c r="H22" s="2">
        <v>92</v>
      </c>
      <c r="I22" s="2">
        <v>100</v>
      </c>
      <c r="J22" s="2">
        <v>99</v>
      </c>
      <c r="K22" s="2">
        <v>91</v>
      </c>
      <c r="L22" s="2">
        <v>99</v>
      </c>
      <c r="M22" s="2" t="s">
        <v>20</v>
      </c>
      <c r="N22" s="2" t="s">
        <v>23</v>
      </c>
      <c r="O22" s="2">
        <v>481</v>
      </c>
      <c r="P22" s="2">
        <v>96.2</v>
      </c>
      <c r="Q22" s="2">
        <v>1</v>
      </c>
      <c r="R22" s="2" t="s">
        <v>20</v>
      </c>
      <c r="S22" s="2"/>
    </row>
    <row r="23" spans="1:19" x14ac:dyDescent="0.25">
      <c r="A23" s="1"/>
      <c r="B23" s="2"/>
      <c r="C23" s="2"/>
      <c r="D23" s="2"/>
      <c r="E23" s="2"/>
      <c r="F23" s="2"/>
      <c r="G23" s="2" t="s">
        <v>17</v>
      </c>
      <c r="H23" s="2">
        <v>100</v>
      </c>
      <c r="I23" s="2">
        <v>99</v>
      </c>
      <c r="J23" s="2">
        <v>96</v>
      </c>
      <c r="K23" s="2">
        <v>96</v>
      </c>
      <c r="L23" s="2">
        <v>98</v>
      </c>
      <c r="M23" s="2" t="s">
        <v>20</v>
      </c>
      <c r="N23" s="2" t="s">
        <v>23</v>
      </c>
      <c r="O23" s="2">
        <v>489</v>
      </c>
      <c r="P23" s="2">
        <v>97.8</v>
      </c>
      <c r="Q23" s="2">
        <v>1</v>
      </c>
      <c r="R23" s="2" t="s">
        <v>20</v>
      </c>
      <c r="S23" s="2"/>
    </row>
    <row r="24" spans="1:19" x14ac:dyDescent="0.25">
      <c r="A24" s="1">
        <v>12</v>
      </c>
      <c r="B24" s="2" t="s">
        <v>144</v>
      </c>
      <c r="C24" s="2"/>
      <c r="D24" s="2" t="s">
        <v>43</v>
      </c>
      <c r="E24" s="40" t="s">
        <v>510</v>
      </c>
      <c r="F24" s="2"/>
      <c r="G24" s="2" t="s">
        <v>16</v>
      </c>
      <c r="H24" s="2">
        <v>95</v>
      </c>
      <c r="I24" s="2">
        <v>94</v>
      </c>
      <c r="J24" s="2">
        <v>92</v>
      </c>
      <c r="K24" s="2">
        <v>85</v>
      </c>
      <c r="L24" s="2">
        <v>95</v>
      </c>
      <c r="M24" s="2" t="s">
        <v>19</v>
      </c>
      <c r="N24" s="2" t="s">
        <v>20</v>
      </c>
      <c r="O24" s="2">
        <v>461</v>
      </c>
      <c r="P24" s="2">
        <v>92.2</v>
      </c>
      <c r="Q24" s="2">
        <v>5</v>
      </c>
      <c r="R24" s="2" t="s">
        <v>20</v>
      </c>
      <c r="S24" s="2"/>
    </row>
    <row r="25" spans="1:19" x14ac:dyDescent="0.25">
      <c r="A25" s="1"/>
      <c r="B25" s="2"/>
      <c r="C25" s="2"/>
      <c r="D25" s="2"/>
      <c r="E25" s="2"/>
      <c r="F25" s="2"/>
      <c r="G25" s="2" t="s">
        <v>17</v>
      </c>
      <c r="H25" s="2">
        <v>97</v>
      </c>
      <c r="I25" s="2">
        <v>96</v>
      </c>
      <c r="J25" s="2">
        <v>90</v>
      </c>
      <c r="K25" s="2">
        <v>92</v>
      </c>
      <c r="L25" s="2">
        <v>98</v>
      </c>
      <c r="M25" s="2" t="s">
        <v>20</v>
      </c>
      <c r="N25" s="2" t="s">
        <v>23</v>
      </c>
      <c r="O25" s="2">
        <v>473</v>
      </c>
      <c r="P25" s="2">
        <v>94.6</v>
      </c>
      <c r="Q25" s="2">
        <v>2</v>
      </c>
      <c r="R25" s="2" t="s">
        <v>20</v>
      </c>
      <c r="S25" s="2"/>
    </row>
    <row r="26" spans="1:19" x14ac:dyDescent="0.25">
      <c r="A26" s="1">
        <v>13</v>
      </c>
      <c r="B26" s="2" t="s">
        <v>145</v>
      </c>
      <c r="C26" s="2"/>
      <c r="D26" s="2" t="s">
        <v>43</v>
      </c>
      <c r="E26" s="40" t="s">
        <v>511</v>
      </c>
      <c r="F26" s="2"/>
      <c r="G26" s="2" t="s">
        <v>16</v>
      </c>
      <c r="H26" s="2">
        <v>66</v>
      </c>
      <c r="I26" s="2">
        <v>87</v>
      </c>
      <c r="J26" s="2">
        <v>87</v>
      </c>
      <c r="K26" s="2">
        <v>70</v>
      </c>
      <c r="L26" s="2">
        <v>93</v>
      </c>
      <c r="M26" s="2" t="s">
        <v>20</v>
      </c>
      <c r="N26" s="2" t="s">
        <v>20</v>
      </c>
      <c r="O26" s="2">
        <v>403</v>
      </c>
      <c r="P26" s="2">
        <v>80.599999999999994</v>
      </c>
      <c r="Q26" s="2"/>
      <c r="R26" s="2" t="s">
        <v>20</v>
      </c>
      <c r="S26" s="2"/>
    </row>
    <row r="27" spans="1:19" x14ac:dyDescent="0.25">
      <c r="A27" s="1"/>
      <c r="B27" s="2"/>
      <c r="C27" s="2"/>
      <c r="D27" s="2"/>
      <c r="E27" s="2"/>
      <c r="F27" s="2"/>
      <c r="G27" s="2" t="s">
        <v>17</v>
      </c>
      <c r="H27" s="2">
        <v>88</v>
      </c>
      <c r="I27" s="2">
        <v>90</v>
      </c>
      <c r="J27" s="2">
        <v>83</v>
      </c>
      <c r="K27" s="2">
        <v>76</v>
      </c>
      <c r="L27" s="2">
        <v>86</v>
      </c>
      <c r="M27" s="2" t="s">
        <v>20</v>
      </c>
      <c r="N27" s="2" t="s">
        <v>19</v>
      </c>
      <c r="O27" s="2">
        <v>422</v>
      </c>
      <c r="P27" s="2">
        <v>84.6</v>
      </c>
      <c r="Q27" s="2"/>
      <c r="R27" s="2"/>
      <c r="S27" s="2"/>
    </row>
    <row r="28" spans="1:19" x14ac:dyDescent="0.25">
      <c r="A28" s="3">
        <v>14</v>
      </c>
      <c r="B28" s="4" t="s">
        <v>146</v>
      </c>
      <c r="C28" s="4"/>
      <c r="D28" s="4" t="s">
        <v>42</v>
      </c>
      <c r="E28" s="41" t="s">
        <v>512</v>
      </c>
      <c r="F28" s="4"/>
      <c r="G28" s="2" t="s">
        <v>16</v>
      </c>
      <c r="H28" s="2">
        <v>89</v>
      </c>
      <c r="I28" s="2">
        <v>78</v>
      </c>
      <c r="J28" s="2">
        <v>82</v>
      </c>
      <c r="K28" s="2">
        <v>79</v>
      </c>
      <c r="L28" s="2">
        <v>93</v>
      </c>
      <c r="M28" s="2" t="s">
        <v>20</v>
      </c>
      <c r="N28" s="2" t="s">
        <v>19</v>
      </c>
      <c r="O28" s="2">
        <v>421</v>
      </c>
      <c r="P28" s="2">
        <v>84.2</v>
      </c>
      <c r="Q28" s="2"/>
      <c r="R28" s="4" t="s">
        <v>20</v>
      </c>
      <c r="S28" s="4"/>
    </row>
    <row r="29" spans="1:19" x14ac:dyDescent="0.25">
      <c r="A29" s="1"/>
      <c r="B29" s="2"/>
      <c r="C29" s="2"/>
      <c r="D29" s="2"/>
      <c r="E29" s="2"/>
      <c r="F29" s="2"/>
      <c r="G29" s="2" t="s">
        <v>17</v>
      </c>
      <c r="H29" s="2">
        <v>96</v>
      </c>
      <c r="I29" s="2">
        <v>75</v>
      </c>
      <c r="J29" s="2">
        <v>84</v>
      </c>
      <c r="K29" s="2">
        <v>87</v>
      </c>
      <c r="L29" s="2">
        <v>85</v>
      </c>
      <c r="M29" s="2" t="s">
        <v>19</v>
      </c>
      <c r="N29" s="2" t="s">
        <v>19</v>
      </c>
      <c r="O29" s="2">
        <v>427</v>
      </c>
      <c r="P29" s="2">
        <v>85.4</v>
      </c>
      <c r="Q29" s="2"/>
      <c r="R29" s="2" t="s">
        <v>20</v>
      </c>
      <c r="S29" s="2"/>
    </row>
    <row r="30" spans="1:19" x14ac:dyDescent="0.25">
      <c r="A30" s="1">
        <v>15</v>
      </c>
      <c r="B30" s="2" t="s">
        <v>147</v>
      </c>
      <c r="C30" s="2"/>
      <c r="D30" s="2" t="s">
        <v>42</v>
      </c>
      <c r="E30" s="12" t="s">
        <v>708</v>
      </c>
      <c r="F30" s="2"/>
      <c r="G30" s="2" t="s">
        <v>16</v>
      </c>
      <c r="H30" s="2">
        <v>98</v>
      </c>
      <c r="I30" s="2">
        <v>60</v>
      </c>
      <c r="J30" s="2">
        <v>64</v>
      </c>
      <c r="K30" s="2">
        <v>67</v>
      </c>
      <c r="L30" s="2">
        <v>75</v>
      </c>
      <c r="M30" s="2" t="s">
        <v>19</v>
      </c>
      <c r="N30" s="2" t="s">
        <v>21</v>
      </c>
      <c r="O30" s="2">
        <v>364</v>
      </c>
      <c r="P30" s="2">
        <v>72.8</v>
      </c>
      <c r="Q30" s="2"/>
      <c r="R30" s="2" t="s">
        <v>20</v>
      </c>
      <c r="S30" s="2"/>
    </row>
    <row r="31" spans="1:19" x14ac:dyDescent="0.25">
      <c r="A31" s="1"/>
      <c r="B31" s="2"/>
      <c r="C31" s="2"/>
      <c r="D31" s="2"/>
      <c r="E31" s="2"/>
      <c r="F31" s="2"/>
      <c r="G31" s="2" t="s">
        <v>17</v>
      </c>
      <c r="H31" s="2">
        <v>93</v>
      </c>
      <c r="I31" s="2">
        <v>63</v>
      </c>
      <c r="J31" s="2">
        <v>85</v>
      </c>
      <c r="K31" s="2">
        <v>69</v>
      </c>
      <c r="L31" s="2">
        <v>89</v>
      </c>
      <c r="M31" s="2" t="s">
        <v>20</v>
      </c>
      <c r="N31" s="2" t="s">
        <v>19</v>
      </c>
      <c r="O31" s="2">
        <v>399</v>
      </c>
      <c r="P31" s="2">
        <v>79.8</v>
      </c>
      <c r="Q31" s="2"/>
      <c r="R31" s="2" t="s">
        <v>20</v>
      </c>
      <c r="S31" s="2"/>
    </row>
    <row r="32" spans="1:19" x14ac:dyDescent="0.25">
      <c r="A32" s="1">
        <v>16</v>
      </c>
      <c r="B32" s="2" t="s">
        <v>148</v>
      </c>
      <c r="C32" s="2"/>
      <c r="D32" s="2" t="s">
        <v>42</v>
      </c>
      <c r="E32" s="40" t="s">
        <v>513</v>
      </c>
      <c r="F32" s="2"/>
      <c r="G32" s="2" t="s">
        <v>16</v>
      </c>
      <c r="H32" s="2">
        <v>100</v>
      </c>
      <c r="I32" s="2">
        <v>87</v>
      </c>
      <c r="J32" s="2">
        <v>86</v>
      </c>
      <c r="K32" s="2">
        <v>90</v>
      </c>
      <c r="L32" s="2">
        <v>99</v>
      </c>
      <c r="M32" s="2" t="s">
        <v>19</v>
      </c>
      <c r="N32" s="2" t="s">
        <v>20</v>
      </c>
      <c r="O32" s="2">
        <v>462</v>
      </c>
      <c r="P32" s="2">
        <v>92.4</v>
      </c>
      <c r="Q32" s="2">
        <v>4</v>
      </c>
      <c r="R32" s="2" t="s">
        <v>20</v>
      </c>
      <c r="S32" s="2"/>
    </row>
    <row r="33" spans="1:19" x14ac:dyDescent="0.25">
      <c r="A33" s="1"/>
      <c r="B33" s="2"/>
      <c r="C33" s="2"/>
      <c r="D33" s="2"/>
      <c r="E33" s="2"/>
      <c r="F33" s="2"/>
      <c r="G33" s="2" t="s">
        <v>17</v>
      </c>
      <c r="H33" s="2">
        <v>98</v>
      </c>
      <c r="I33" s="2">
        <v>76</v>
      </c>
      <c r="J33" s="2">
        <v>90</v>
      </c>
      <c r="K33" s="2">
        <v>90</v>
      </c>
      <c r="L33" s="2">
        <v>92</v>
      </c>
      <c r="M33" s="2" t="s">
        <v>20</v>
      </c>
      <c r="N33" s="2" t="s">
        <v>20</v>
      </c>
      <c r="O33" s="2">
        <v>446</v>
      </c>
      <c r="P33" s="2">
        <v>89.2</v>
      </c>
      <c r="Q33" s="2">
        <v>7</v>
      </c>
      <c r="R33" s="2" t="s">
        <v>19</v>
      </c>
      <c r="S33" s="2"/>
    </row>
    <row r="34" spans="1:19" x14ac:dyDescent="0.25">
      <c r="A34" s="1">
        <v>17</v>
      </c>
      <c r="B34" s="9" t="s">
        <v>149</v>
      </c>
      <c r="C34" s="9"/>
      <c r="D34" s="2" t="s">
        <v>42</v>
      </c>
      <c r="E34" s="40" t="s">
        <v>514</v>
      </c>
      <c r="F34" s="2"/>
      <c r="G34" s="2" t="s">
        <v>16</v>
      </c>
      <c r="H34" s="2">
        <v>90</v>
      </c>
      <c r="I34" s="2">
        <v>86</v>
      </c>
      <c r="J34" s="2">
        <v>84</v>
      </c>
      <c r="K34" s="2">
        <v>81</v>
      </c>
      <c r="L34" s="2">
        <v>84</v>
      </c>
      <c r="M34" s="2" t="s">
        <v>20</v>
      </c>
      <c r="N34" s="2" t="s">
        <v>19</v>
      </c>
      <c r="O34" s="2">
        <v>425</v>
      </c>
      <c r="P34" s="2">
        <v>85</v>
      </c>
      <c r="Q34" s="2"/>
      <c r="R34" s="2" t="s">
        <v>20</v>
      </c>
      <c r="S34" s="2"/>
    </row>
    <row r="35" spans="1:19" x14ac:dyDescent="0.25">
      <c r="A35" s="1"/>
      <c r="B35" s="2"/>
      <c r="C35" s="2"/>
      <c r="D35" s="2"/>
      <c r="E35" s="2"/>
      <c r="F35" s="2"/>
      <c r="G35" s="2" t="s">
        <v>17</v>
      </c>
      <c r="H35" s="2">
        <v>85</v>
      </c>
      <c r="I35" s="2">
        <v>69</v>
      </c>
      <c r="J35" s="2">
        <v>74</v>
      </c>
      <c r="K35" s="2">
        <v>73</v>
      </c>
      <c r="L35" s="2">
        <v>82</v>
      </c>
      <c r="M35" s="2" t="s">
        <v>19</v>
      </c>
      <c r="N35" s="2" t="s">
        <v>21</v>
      </c>
      <c r="O35" s="2">
        <v>383</v>
      </c>
      <c r="P35" s="2">
        <v>76.599999999999994</v>
      </c>
      <c r="Q35" s="2"/>
      <c r="R35" s="2" t="s">
        <v>20</v>
      </c>
      <c r="S35" s="2"/>
    </row>
    <row r="36" spans="1:19" x14ac:dyDescent="0.25">
      <c r="A36" s="1">
        <v>18</v>
      </c>
      <c r="B36" s="2" t="s">
        <v>150</v>
      </c>
      <c r="C36" s="2"/>
      <c r="D36" s="2" t="s">
        <v>43</v>
      </c>
      <c r="E36" s="40" t="s">
        <v>515</v>
      </c>
      <c r="F36" s="2"/>
      <c r="G36" s="2" t="s">
        <v>16</v>
      </c>
      <c r="H36" s="2">
        <v>67</v>
      </c>
      <c r="I36" s="2">
        <v>56</v>
      </c>
      <c r="J36" s="2">
        <v>70</v>
      </c>
      <c r="K36" s="2">
        <v>64</v>
      </c>
      <c r="L36" s="2">
        <v>66</v>
      </c>
      <c r="M36" s="2" t="s">
        <v>19</v>
      </c>
      <c r="N36" s="2" t="s">
        <v>21</v>
      </c>
      <c r="O36" s="2">
        <v>323</v>
      </c>
      <c r="P36" s="2">
        <v>64.599999999999994</v>
      </c>
      <c r="Q36" s="2"/>
      <c r="R36" s="2" t="s">
        <v>20</v>
      </c>
      <c r="S36" s="2"/>
    </row>
    <row r="37" spans="1:19" x14ac:dyDescent="0.25">
      <c r="A37" s="1"/>
      <c r="B37" s="2"/>
      <c r="C37" s="2"/>
      <c r="D37" s="2"/>
      <c r="E37" s="2"/>
      <c r="F37" s="2"/>
      <c r="G37" s="2" t="s">
        <v>17</v>
      </c>
      <c r="H37" s="2">
        <v>81</v>
      </c>
      <c r="I37" s="2">
        <v>50</v>
      </c>
      <c r="J37" s="2">
        <v>62</v>
      </c>
      <c r="K37" s="2">
        <v>60</v>
      </c>
      <c r="L37" s="2">
        <v>59</v>
      </c>
      <c r="M37" s="2" t="s">
        <v>19</v>
      </c>
      <c r="N37" s="2" t="s">
        <v>21</v>
      </c>
      <c r="O37" s="2">
        <v>312</v>
      </c>
      <c r="P37" s="2">
        <v>62.4</v>
      </c>
      <c r="Q37" s="2"/>
      <c r="R37" s="2" t="s">
        <v>20</v>
      </c>
      <c r="S37" s="2"/>
    </row>
    <row r="38" spans="1:19" x14ac:dyDescent="0.25">
      <c r="A38" s="1">
        <v>19</v>
      </c>
      <c r="B38" s="2" t="s">
        <v>151</v>
      </c>
      <c r="C38" s="2"/>
      <c r="D38" s="2" t="s">
        <v>42</v>
      </c>
      <c r="E38" s="40" t="s">
        <v>516</v>
      </c>
      <c r="F38" s="2"/>
      <c r="G38" s="2" t="s">
        <v>16</v>
      </c>
      <c r="H38" s="2">
        <v>95</v>
      </c>
      <c r="I38" s="2">
        <v>99</v>
      </c>
      <c r="J38" s="2">
        <v>90</v>
      </c>
      <c r="K38" s="2">
        <v>90</v>
      </c>
      <c r="L38" s="2">
        <v>96</v>
      </c>
      <c r="M38" s="2" t="s">
        <v>20</v>
      </c>
      <c r="N38" s="2" t="s">
        <v>20</v>
      </c>
      <c r="O38" s="2">
        <v>470</v>
      </c>
      <c r="P38" s="2">
        <v>94</v>
      </c>
      <c r="Q38" s="2">
        <v>2</v>
      </c>
      <c r="R38" s="2" t="s">
        <v>20</v>
      </c>
      <c r="S38" s="2"/>
    </row>
    <row r="39" spans="1:19" x14ac:dyDescent="0.25">
      <c r="A39" s="1"/>
      <c r="B39" s="2"/>
      <c r="C39" s="2"/>
      <c r="D39" s="2"/>
      <c r="E39" s="2"/>
      <c r="F39" s="2"/>
      <c r="G39" s="2" t="s">
        <v>17</v>
      </c>
      <c r="H39" s="2">
        <v>95</v>
      </c>
      <c r="I39" s="2">
        <v>97</v>
      </c>
      <c r="J39" s="2">
        <v>89</v>
      </c>
      <c r="K39" s="2">
        <v>94</v>
      </c>
      <c r="L39" s="2">
        <v>91</v>
      </c>
      <c r="M39" s="2"/>
      <c r="N39" s="2" t="s">
        <v>23</v>
      </c>
      <c r="O39" s="2">
        <v>466</v>
      </c>
      <c r="P39" s="2">
        <v>93.2</v>
      </c>
      <c r="Q39" s="2">
        <v>4</v>
      </c>
      <c r="R39" s="2" t="s">
        <v>19</v>
      </c>
      <c r="S39" s="2"/>
    </row>
    <row r="40" spans="1:19" x14ac:dyDescent="0.25">
      <c r="A40" s="1">
        <v>20</v>
      </c>
      <c r="B40" s="2" t="s">
        <v>152</v>
      </c>
      <c r="C40" s="2"/>
      <c r="D40" s="2" t="s">
        <v>42</v>
      </c>
      <c r="E40" s="42" t="s">
        <v>517</v>
      </c>
      <c r="F40" s="2"/>
      <c r="G40" s="2" t="s">
        <v>16</v>
      </c>
      <c r="H40" s="2">
        <v>89</v>
      </c>
      <c r="I40" s="2">
        <v>76</v>
      </c>
      <c r="J40" s="2">
        <v>71</v>
      </c>
      <c r="K40" s="2">
        <v>70</v>
      </c>
      <c r="L40" s="2">
        <v>80</v>
      </c>
      <c r="M40" s="2" t="s">
        <v>19</v>
      </c>
      <c r="N40" s="2" t="s">
        <v>21</v>
      </c>
      <c r="O40" s="2">
        <v>386</v>
      </c>
      <c r="P40" s="2">
        <v>77.2</v>
      </c>
      <c r="Q40" s="2"/>
      <c r="R40" s="2" t="s">
        <v>20</v>
      </c>
      <c r="S40" s="2"/>
    </row>
    <row r="41" spans="1:19" x14ac:dyDescent="0.25">
      <c r="A41" s="1"/>
      <c r="B41" s="2"/>
      <c r="C41" s="2"/>
      <c r="D41" s="2"/>
      <c r="E41" s="2"/>
      <c r="F41" s="2"/>
      <c r="G41" s="2" t="s">
        <v>17</v>
      </c>
      <c r="H41" s="2">
        <v>91</v>
      </c>
      <c r="I41" s="2">
        <v>82</v>
      </c>
      <c r="J41" s="2">
        <v>76</v>
      </c>
      <c r="K41" s="2">
        <v>64</v>
      </c>
      <c r="L41" s="2">
        <v>73</v>
      </c>
      <c r="M41" s="2" t="s">
        <v>20</v>
      </c>
      <c r="N41" s="2" t="s">
        <v>21</v>
      </c>
      <c r="O41" s="2">
        <v>386</v>
      </c>
      <c r="P41" s="2">
        <v>77.2</v>
      </c>
      <c r="Q41" s="2"/>
      <c r="R41" s="2" t="s">
        <v>20</v>
      </c>
      <c r="S41" s="2"/>
    </row>
    <row r="42" spans="1:19" x14ac:dyDescent="0.25">
      <c r="A42" s="1">
        <v>21</v>
      </c>
      <c r="B42" s="9" t="s">
        <v>153</v>
      </c>
      <c r="C42" s="9"/>
      <c r="D42" s="2" t="s">
        <v>43</v>
      </c>
      <c r="E42" s="42" t="s">
        <v>518</v>
      </c>
      <c r="F42" s="2"/>
      <c r="G42" s="2" t="s">
        <v>16</v>
      </c>
      <c r="H42" s="2">
        <v>94</v>
      </c>
      <c r="I42" s="2">
        <v>77</v>
      </c>
      <c r="J42" s="2">
        <v>84</v>
      </c>
      <c r="K42" s="2">
        <v>59</v>
      </c>
      <c r="L42" s="2">
        <v>71</v>
      </c>
      <c r="M42" s="2" t="s">
        <v>19</v>
      </c>
      <c r="N42" s="2" t="s">
        <v>21</v>
      </c>
      <c r="O42" s="2">
        <v>385</v>
      </c>
      <c r="P42" s="2">
        <v>77</v>
      </c>
      <c r="Q42" s="2"/>
      <c r="R42" s="2" t="s">
        <v>20</v>
      </c>
      <c r="S42" s="2"/>
    </row>
    <row r="43" spans="1:19" x14ac:dyDescent="0.25">
      <c r="A43" s="1"/>
      <c r="B43" s="2"/>
      <c r="C43" s="2"/>
      <c r="D43" s="2"/>
      <c r="E43" s="2"/>
      <c r="F43" s="2"/>
      <c r="G43" s="2" t="s">
        <v>17</v>
      </c>
      <c r="H43" s="2">
        <v>75</v>
      </c>
      <c r="I43" s="2">
        <v>59</v>
      </c>
      <c r="J43" s="2">
        <v>63</v>
      </c>
      <c r="K43" s="2">
        <v>60</v>
      </c>
      <c r="L43" s="2">
        <v>58</v>
      </c>
      <c r="M43" s="2" t="s">
        <v>20</v>
      </c>
      <c r="N43" s="2" t="s">
        <v>21</v>
      </c>
      <c r="O43" s="2">
        <v>315</v>
      </c>
      <c r="P43" s="2">
        <v>63</v>
      </c>
      <c r="Q43" s="2"/>
      <c r="R43" s="2" t="s">
        <v>20</v>
      </c>
      <c r="S43" s="2"/>
    </row>
    <row r="44" spans="1:19" x14ac:dyDescent="0.25">
      <c r="A44" s="1">
        <v>22</v>
      </c>
      <c r="B44" s="2" t="s">
        <v>154</v>
      </c>
      <c r="C44" s="2"/>
      <c r="D44" s="2" t="s">
        <v>43</v>
      </c>
      <c r="E44" s="41" t="s">
        <v>519</v>
      </c>
      <c r="F44" s="2"/>
      <c r="G44" s="2" t="s">
        <v>16</v>
      </c>
      <c r="H44" s="2">
        <v>89</v>
      </c>
      <c r="I44" s="2">
        <v>81</v>
      </c>
      <c r="J44" s="2">
        <v>83</v>
      </c>
      <c r="K44" s="2">
        <v>83</v>
      </c>
      <c r="L44" s="2">
        <v>96</v>
      </c>
      <c r="M44" s="2" t="s">
        <v>20</v>
      </c>
      <c r="N44" s="2" t="s">
        <v>19</v>
      </c>
      <c r="O44" s="2">
        <v>432</v>
      </c>
      <c r="P44" s="2">
        <v>86.4</v>
      </c>
      <c r="Q44" s="2"/>
      <c r="R44" s="2" t="s">
        <v>20</v>
      </c>
      <c r="S44" s="2"/>
    </row>
    <row r="45" spans="1:19" x14ac:dyDescent="0.25">
      <c r="A45" s="1"/>
      <c r="B45" s="2"/>
      <c r="C45" s="2"/>
      <c r="D45" s="2"/>
      <c r="E45" s="2"/>
      <c r="F45" s="2"/>
      <c r="G45" s="2" t="s">
        <v>17</v>
      </c>
      <c r="H45" s="2">
        <v>91</v>
      </c>
      <c r="I45" s="2">
        <v>94</v>
      </c>
      <c r="J45" s="2">
        <v>87</v>
      </c>
      <c r="K45" s="2">
        <v>76</v>
      </c>
      <c r="L45" s="2">
        <v>89</v>
      </c>
      <c r="M45" s="2" t="s">
        <v>20</v>
      </c>
      <c r="N45" s="2" t="s">
        <v>21</v>
      </c>
      <c r="O45" s="2">
        <v>437</v>
      </c>
      <c r="P45" s="2">
        <v>87.4</v>
      </c>
      <c r="Q45" s="2"/>
      <c r="R45" s="2" t="s">
        <v>20</v>
      </c>
      <c r="S45" s="2"/>
    </row>
    <row r="46" spans="1:19" x14ac:dyDescent="0.25">
      <c r="A46" s="1">
        <v>23</v>
      </c>
      <c r="B46" s="2" t="s">
        <v>155</v>
      </c>
      <c r="C46" s="2"/>
      <c r="D46" s="2" t="s">
        <v>42</v>
      </c>
      <c r="E46" s="40" t="s">
        <v>520</v>
      </c>
      <c r="F46" s="2"/>
      <c r="G46" s="2" t="s">
        <v>16</v>
      </c>
      <c r="H46" s="2">
        <v>81</v>
      </c>
      <c r="I46" s="2">
        <v>98</v>
      </c>
      <c r="J46" s="2">
        <v>73</v>
      </c>
      <c r="K46" s="2">
        <v>82</v>
      </c>
      <c r="L46" s="2">
        <v>87</v>
      </c>
      <c r="M46" s="2" t="s">
        <v>19</v>
      </c>
      <c r="N46" s="2" t="s">
        <v>21</v>
      </c>
      <c r="O46" s="2">
        <v>421</v>
      </c>
      <c r="P46" s="2">
        <v>84.2</v>
      </c>
      <c r="Q46" s="2"/>
      <c r="R46" s="2" t="s">
        <v>20</v>
      </c>
      <c r="S46" s="2"/>
    </row>
    <row r="47" spans="1:19" x14ac:dyDescent="0.25">
      <c r="A47" s="1"/>
      <c r="B47" s="2"/>
      <c r="C47" s="2"/>
      <c r="D47" s="2"/>
      <c r="E47" s="2"/>
      <c r="F47" s="2"/>
      <c r="G47" s="2" t="s">
        <v>17</v>
      </c>
      <c r="H47" s="2">
        <v>91</v>
      </c>
      <c r="I47" s="2">
        <v>93</v>
      </c>
      <c r="J47" s="2">
        <v>79</v>
      </c>
      <c r="K47" s="2">
        <v>69</v>
      </c>
      <c r="L47" s="2">
        <v>86</v>
      </c>
      <c r="M47" s="2" t="s">
        <v>20</v>
      </c>
      <c r="N47" s="2" t="s">
        <v>19</v>
      </c>
      <c r="O47" s="2">
        <v>418</v>
      </c>
      <c r="P47" s="2">
        <v>83.9</v>
      </c>
      <c r="Q47" s="2"/>
      <c r="R47" s="2" t="s">
        <v>20</v>
      </c>
      <c r="S47" s="2"/>
    </row>
    <row r="48" spans="1:19" x14ac:dyDescent="0.25">
      <c r="A48" s="1">
        <v>24</v>
      </c>
      <c r="B48" s="2" t="s">
        <v>156</v>
      </c>
      <c r="C48" s="2"/>
      <c r="D48" s="2" t="s">
        <v>42</v>
      </c>
      <c r="E48" s="42" t="s">
        <v>521</v>
      </c>
      <c r="F48" s="2"/>
      <c r="G48" s="2" t="s">
        <v>16</v>
      </c>
      <c r="H48" s="2">
        <v>71</v>
      </c>
      <c r="I48" s="2">
        <v>77</v>
      </c>
      <c r="J48" s="2">
        <v>84</v>
      </c>
      <c r="K48" s="2">
        <v>63</v>
      </c>
      <c r="L48" s="2">
        <v>79</v>
      </c>
      <c r="M48" s="2" t="s">
        <v>19</v>
      </c>
      <c r="N48" s="2" t="s">
        <v>21</v>
      </c>
      <c r="O48" s="2">
        <v>374</v>
      </c>
      <c r="P48" s="2">
        <v>74.8</v>
      </c>
      <c r="Q48" s="2"/>
      <c r="R48" s="2" t="s">
        <v>20</v>
      </c>
      <c r="S48" s="2"/>
    </row>
    <row r="49" spans="1:19" x14ac:dyDescent="0.25">
      <c r="A49" s="1"/>
      <c r="B49" s="2"/>
      <c r="C49" s="2"/>
      <c r="D49" s="2"/>
      <c r="E49" s="2"/>
      <c r="F49" s="2"/>
      <c r="G49" s="2" t="s">
        <v>17</v>
      </c>
      <c r="H49" s="2">
        <v>92</v>
      </c>
      <c r="I49" s="2">
        <v>73</v>
      </c>
      <c r="J49" s="2">
        <v>76</v>
      </c>
      <c r="K49" s="2">
        <v>56</v>
      </c>
      <c r="L49" s="2">
        <v>60</v>
      </c>
      <c r="M49" s="2" t="s">
        <v>19</v>
      </c>
      <c r="N49" s="2" t="s">
        <v>21</v>
      </c>
      <c r="O49" s="2">
        <v>357</v>
      </c>
      <c r="P49" s="2">
        <v>71.400000000000006</v>
      </c>
      <c r="Q49" s="2"/>
      <c r="R49" s="2" t="s">
        <v>20</v>
      </c>
      <c r="S49" s="2"/>
    </row>
    <row r="50" spans="1:19" x14ac:dyDescent="0.25">
      <c r="A50" s="1">
        <v>25</v>
      </c>
      <c r="B50" s="2" t="s">
        <v>157</v>
      </c>
      <c r="C50" s="2"/>
      <c r="D50" s="2" t="s">
        <v>43</v>
      </c>
      <c r="E50" s="41" t="s">
        <v>522</v>
      </c>
      <c r="F50" s="2"/>
      <c r="G50" s="2" t="s">
        <v>16</v>
      </c>
      <c r="H50" s="2">
        <v>93</v>
      </c>
      <c r="I50" s="2">
        <v>84</v>
      </c>
      <c r="J50" s="2">
        <v>81</v>
      </c>
      <c r="K50" s="2">
        <v>79</v>
      </c>
      <c r="L50" s="2">
        <v>86</v>
      </c>
      <c r="M50" s="2" t="s">
        <v>19</v>
      </c>
      <c r="N50" s="2" t="s">
        <v>20</v>
      </c>
      <c r="O50" s="2">
        <v>423</v>
      </c>
      <c r="P50" s="2">
        <v>84.6</v>
      </c>
      <c r="Q50" s="2"/>
      <c r="R50" s="2"/>
      <c r="S50" s="2"/>
    </row>
    <row r="51" spans="1:19" x14ac:dyDescent="0.25">
      <c r="A51" s="1"/>
      <c r="B51" s="2"/>
      <c r="C51" s="2"/>
      <c r="D51" s="2"/>
      <c r="E51" s="2"/>
      <c r="F51" s="2"/>
      <c r="G51" s="2" t="s">
        <v>17</v>
      </c>
      <c r="H51" s="2">
        <v>93</v>
      </c>
      <c r="I51" s="2">
        <v>85</v>
      </c>
      <c r="J51" s="2">
        <v>80</v>
      </c>
      <c r="K51" s="2">
        <v>89</v>
      </c>
      <c r="L51" s="2">
        <v>81</v>
      </c>
      <c r="M51" s="2" t="s">
        <v>19</v>
      </c>
      <c r="N51" s="2" t="s">
        <v>19</v>
      </c>
      <c r="O51" s="2">
        <v>428</v>
      </c>
      <c r="P51" s="2">
        <v>85.6</v>
      </c>
      <c r="Q51" s="2"/>
      <c r="R51" s="2"/>
      <c r="S51" s="2"/>
    </row>
    <row r="52" spans="1:19" x14ac:dyDescent="0.25">
      <c r="A52" s="1">
        <v>26</v>
      </c>
      <c r="B52" s="2" t="s">
        <v>158</v>
      </c>
      <c r="C52" s="2"/>
      <c r="D52" s="2" t="s">
        <v>43</v>
      </c>
      <c r="E52" s="12" t="s">
        <v>709</v>
      </c>
      <c r="F52" s="2"/>
      <c r="G52" s="2" t="s">
        <v>16</v>
      </c>
      <c r="H52" s="2">
        <v>94</v>
      </c>
      <c r="I52" s="2">
        <v>90</v>
      </c>
      <c r="J52" s="2">
        <v>99</v>
      </c>
      <c r="K52" s="2">
        <v>90</v>
      </c>
      <c r="L52" s="2">
        <v>97</v>
      </c>
      <c r="M52" s="2" t="s">
        <v>19</v>
      </c>
      <c r="N52" s="2" t="s">
        <v>20</v>
      </c>
      <c r="O52" s="2">
        <v>470</v>
      </c>
      <c r="P52" s="2">
        <v>94</v>
      </c>
      <c r="Q52" s="2">
        <v>2</v>
      </c>
      <c r="R52" s="2" t="s">
        <v>20</v>
      </c>
      <c r="S52" s="2"/>
    </row>
    <row r="53" spans="1:19" x14ac:dyDescent="0.25">
      <c r="A53" s="1"/>
      <c r="B53" s="2"/>
      <c r="C53" s="2"/>
      <c r="D53" s="2"/>
      <c r="E53" s="2"/>
      <c r="F53" s="2"/>
      <c r="G53" s="2" t="s">
        <v>17</v>
      </c>
      <c r="H53" s="2">
        <v>95</v>
      </c>
      <c r="I53" s="2">
        <v>95</v>
      </c>
      <c r="J53" s="2">
        <v>94</v>
      </c>
      <c r="K53" s="2">
        <v>93</v>
      </c>
      <c r="L53" s="2">
        <v>93</v>
      </c>
      <c r="M53" s="2" t="s">
        <v>20</v>
      </c>
      <c r="N53" s="2" t="s">
        <v>23</v>
      </c>
      <c r="O53" s="2">
        <v>470</v>
      </c>
      <c r="P53" s="2">
        <v>94</v>
      </c>
      <c r="Q53" s="2">
        <v>3</v>
      </c>
      <c r="R53" s="2" t="s">
        <v>20</v>
      </c>
      <c r="S53" s="2"/>
    </row>
    <row r="54" spans="1:19" x14ac:dyDescent="0.25">
      <c r="A54" s="1">
        <v>27</v>
      </c>
      <c r="B54" s="2" t="s">
        <v>159</v>
      </c>
      <c r="C54" s="2"/>
      <c r="D54" s="2" t="s">
        <v>43</v>
      </c>
      <c r="E54" s="42" t="s">
        <v>523</v>
      </c>
      <c r="F54" s="2"/>
      <c r="G54" s="2" t="s">
        <v>16</v>
      </c>
      <c r="H54" s="2">
        <v>86</v>
      </c>
      <c r="I54" s="2">
        <v>89</v>
      </c>
      <c r="J54" s="2">
        <v>91</v>
      </c>
      <c r="K54" s="2">
        <v>78</v>
      </c>
      <c r="L54" s="2">
        <v>87</v>
      </c>
      <c r="M54" s="2" t="s">
        <v>20</v>
      </c>
      <c r="N54" s="2" t="s">
        <v>19</v>
      </c>
      <c r="O54" s="2">
        <v>431</v>
      </c>
      <c r="P54" s="2">
        <v>86.2</v>
      </c>
      <c r="Q54" s="2"/>
      <c r="R54" s="2" t="s">
        <v>19</v>
      </c>
      <c r="S54" s="2"/>
    </row>
    <row r="55" spans="1:19" x14ac:dyDescent="0.25">
      <c r="A55" s="1"/>
      <c r="B55" s="2"/>
      <c r="C55" s="2"/>
      <c r="D55" s="2"/>
      <c r="E55" s="2"/>
      <c r="F55" s="2"/>
      <c r="G55" s="2" t="s">
        <v>17</v>
      </c>
      <c r="H55" s="2">
        <v>92</v>
      </c>
      <c r="I55" s="2">
        <v>92</v>
      </c>
      <c r="J55" s="2">
        <v>75</v>
      </c>
      <c r="K55" s="2">
        <v>81</v>
      </c>
      <c r="L55" s="2">
        <v>90</v>
      </c>
      <c r="M55" s="2" t="s">
        <v>20</v>
      </c>
      <c r="N55" s="2" t="s">
        <v>19</v>
      </c>
      <c r="O55" s="2">
        <v>430</v>
      </c>
      <c r="P55" s="2">
        <v>86</v>
      </c>
      <c r="Q55" s="2"/>
      <c r="R55" s="2" t="s">
        <v>19</v>
      </c>
      <c r="S55" s="2"/>
    </row>
    <row r="56" spans="1:19" x14ac:dyDescent="0.25">
      <c r="A56" s="1">
        <v>28</v>
      </c>
      <c r="B56" s="2" t="s">
        <v>160</v>
      </c>
      <c r="C56" s="2"/>
      <c r="D56" s="2" t="s">
        <v>42</v>
      </c>
      <c r="E56" s="42" t="s">
        <v>524</v>
      </c>
      <c r="F56" s="2"/>
      <c r="G56" s="2" t="s">
        <v>16</v>
      </c>
      <c r="H56" s="2">
        <v>94</v>
      </c>
      <c r="I56" s="2">
        <v>88</v>
      </c>
      <c r="J56" s="2">
        <v>73</v>
      </c>
      <c r="K56" s="2">
        <v>65</v>
      </c>
      <c r="L56" s="2">
        <v>80</v>
      </c>
      <c r="M56" s="2" t="s">
        <v>20</v>
      </c>
      <c r="N56" s="2" t="s">
        <v>21</v>
      </c>
      <c r="O56" s="2">
        <v>400</v>
      </c>
      <c r="P56" s="2">
        <v>80</v>
      </c>
      <c r="Q56" s="2"/>
      <c r="R56" s="2" t="s">
        <v>19</v>
      </c>
      <c r="S56" s="2"/>
    </row>
    <row r="57" spans="1:19" x14ac:dyDescent="0.25">
      <c r="A57" s="1"/>
      <c r="B57" s="2"/>
      <c r="C57" s="2"/>
      <c r="D57" s="2"/>
      <c r="E57" s="2"/>
      <c r="F57" s="2"/>
      <c r="G57" s="2" t="s">
        <v>17</v>
      </c>
      <c r="H57" s="2">
        <v>89</v>
      </c>
      <c r="I57" s="2">
        <v>79</v>
      </c>
      <c r="J57" s="2">
        <v>85</v>
      </c>
      <c r="K57" s="2">
        <v>72</v>
      </c>
      <c r="L57" s="2">
        <v>77</v>
      </c>
      <c r="M57" s="2" t="s">
        <v>19</v>
      </c>
      <c r="N57" s="2" t="s">
        <v>21</v>
      </c>
      <c r="O57" s="2">
        <v>402</v>
      </c>
      <c r="P57" s="2">
        <v>80.400000000000006</v>
      </c>
      <c r="Q57" s="2"/>
      <c r="R57" s="2" t="s">
        <v>19</v>
      </c>
      <c r="S57" s="2"/>
    </row>
    <row r="58" spans="1:19" x14ac:dyDescent="0.25">
      <c r="A58" s="1">
        <v>29</v>
      </c>
      <c r="B58" s="2" t="s">
        <v>161</v>
      </c>
      <c r="C58" s="2"/>
      <c r="D58" s="2" t="s">
        <v>42</v>
      </c>
      <c r="E58" s="40" t="s">
        <v>525</v>
      </c>
      <c r="F58" s="2"/>
      <c r="G58" s="2" t="s">
        <v>16</v>
      </c>
      <c r="H58" s="2">
        <v>90</v>
      </c>
      <c r="I58" s="2">
        <v>88</v>
      </c>
      <c r="J58" s="2">
        <v>86</v>
      </c>
      <c r="K58" s="2">
        <v>86</v>
      </c>
      <c r="L58" s="2">
        <v>95</v>
      </c>
      <c r="M58" s="2" t="s">
        <v>20</v>
      </c>
      <c r="N58" s="2" t="s">
        <v>19</v>
      </c>
      <c r="O58" s="2">
        <v>445</v>
      </c>
      <c r="P58" s="2">
        <v>89</v>
      </c>
      <c r="Q58" s="2"/>
      <c r="R58" s="2" t="s">
        <v>20</v>
      </c>
      <c r="S58" s="2"/>
    </row>
    <row r="59" spans="1:19" x14ac:dyDescent="0.25">
      <c r="A59" s="1"/>
      <c r="B59" s="2"/>
      <c r="C59" s="2"/>
      <c r="D59" s="2"/>
      <c r="E59" s="2"/>
      <c r="F59" s="2"/>
      <c r="G59" s="2" t="s">
        <v>17</v>
      </c>
      <c r="H59" s="2">
        <v>92</v>
      </c>
      <c r="I59" s="2">
        <v>83</v>
      </c>
      <c r="J59" s="2">
        <v>88</v>
      </c>
      <c r="K59" s="2">
        <v>83</v>
      </c>
      <c r="L59" s="2">
        <v>94</v>
      </c>
      <c r="M59" s="2" t="s">
        <v>19</v>
      </c>
      <c r="N59" s="2" t="s">
        <v>19</v>
      </c>
      <c r="O59" s="2">
        <v>440</v>
      </c>
      <c r="P59" s="2">
        <v>88</v>
      </c>
      <c r="Q59" s="2"/>
      <c r="R59" s="2" t="s">
        <v>19</v>
      </c>
      <c r="S59" s="2"/>
    </row>
    <row r="60" spans="1:19" x14ac:dyDescent="0.25">
      <c r="A60" s="1">
        <v>30</v>
      </c>
      <c r="B60" s="2" t="s">
        <v>162</v>
      </c>
      <c r="C60" s="2"/>
      <c r="D60" s="2" t="s">
        <v>42</v>
      </c>
      <c r="E60" s="42" t="s">
        <v>526</v>
      </c>
      <c r="F60" s="2"/>
      <c r="G60" s="2" t="s">
        <v>16</v>
      </c>
      <c r="H60" s="2">
        <v>90</v>
      </c>
      <c r="I60" s="2">
        <v>88</v>
      </c>
      <c r="J60" s="2">
        <v>89</v>
      </c>
      <c r="K60" s="2">
        <v>91</v>
      </c>
      <c r="L60" s="2">
        <v>96</v>
      </c>
      <c r="M60" s="2" t="s">
        <v>19</v>
      </c>
      <c r="N60" s="2" t="s">
        <v>20</v>
      </c>
      <c r="O60" s="2">
        <v>454</v>
      </c>
      <c r="P60" s="2">
        <v>90.8</v>
      </c>
      <c r="Q60" s="2">
        <v>6</v>
      </c>
      <c r="R60" s="2" t="s">
        <v>20</v>
      </c>
      <c r="S60" s="2"/>
    </row>
    <row r="61" spans="1:19" x14ac:dyDescent="0.25">
      <c r="A61" s="1"/>
      <c r="B61" s="2"/>
      <c r="C61" s="2"/>
      <c r="D61" s="2"/>
      <c r="E61" s="2"/>
      <c r="F61" s="2"/>
      <c r="G61" s="2" t="s">
        <v>17</v>
      </c>
      <c r="H61" s="2">
        <v>98</v>
      </c>
      <c r="I61" s="2">
        <v>84</v>
      </c>
      <c r="J61" s="2">
        <v>87.5</v>
      </c>
      <c r="K61" s="2">
        <v>89</v>
      </c>
      <c r="L61" s="2">
        <v>92</v>
      </c>
      <c r="M61" s="2" t="s">
        <v>19</v>
      </c>
      <c r="N61" s="2" t="s">
        <v>20</v>
      </c>
      <c r="O61" s="2">
        <v>449</v>
      </c>
      <c r="P61" s="2">
        <v>89.8</v>
      </c>
      <c r="Q61" s="2">
        <v>6</v>
      </c>
      <c r="R61" s="2" t="s">
        <v>20</v>
      </c>
      <c r="S61" s="2"/>
    </row>
    <row r="62" spans="1:19" x14ac:dyDescent="0.25">
      <c r="A62" s="1">
        <v>31</v>
      </c>
      <c r="B62" s="2" t="s">
        <v>163</v>
      </c>
      <c r="C62" s="2"/>
      <c r="D62" s="2" t="s">
        <v>42</v>
      </c>
      <c r="E62" s="12" t="s">
        <v>710</v>
      </c>
      <c r="F62" s="2"/>
      <c r="G62" s="2" t="s">
        <v>16</v>
      </c>
      <c r="H62" s="2">
        <v>83</v>
      </c>
      <c r="I62" s="2">
        <v>85</v>
      </c>
      <c r="J62" s="2">
        <v>73</v>
      </c>
      <c r="K62" s="2">
        <v>66</v>
      </c>
      <c r="L62" s="2">
        <v>85</v>
      </c>
      <c r="M62" s="2" t="s">
        <v>19</v>
      </c>
      <c r="N62" s="2" t="s">
        <v>21</v>
      </c>
      <c r="O62" s="2">
        <v>392</v>
      </c>
      <c r="P62" s="2">
        <v>78.400000000000006</v>
      </c>
      <c r="Q62" s="2"/>
      <c r="R62" s="2" t="s">
        <v>20</v>
      </c>
      <c r="S62" s="2"/>
    </row>
    <row r="63" spans="1:19" x14ac:dyDescent="0.25">
      <c r="A63" s="1"/>
      <c r="B63" s="2"/>
      <c r="C63" s="2"/>
      <c r="D63" s="2"/>
      <c r="E63" s="2"/>
      <c r="F63" s="2"/>
      <c r="G63" s="2" t="s">
        <v>17</v>
      </c>
      <c r="H63" s="2">
        <v>94</v>
      </c>
      <c r="I63" s="2">
        <v>64</v>
      </c>
      <c r="J63" s="2">
        <v>78</v>
      </c>
      <c r="K63" s="2">
        <v>90</v>
      </c>
      <c r="L63" s="2">
        <v>88</v>
      </c>
      <c r="M63" s="2" t="s">
        <v>19</v>
      </c>
      <c r="N63" s="2" t="s">
        <v>20</v>
      </c>
      <c r="O63" s="2">
        <v>414</v>
      </c>
      <c r="P63" s="2">
        <v>82.8</v>
      </c>
      <c r="Q63" s="2"/>
      <c r="R63" s="2" t="s">
        <v>20</v>
      </c>
      <c r="S63" s="2"/>
    </row>
    <row r="64" spans="1:19" x14ac:dyDescent="0.25">
      <c r="A64" s="1">
        <v>32</v>
      </c>
      <c r="B64" s="2" t="s">
        <v>164</v>
      </c>
      <c r="C64" s="2"/>
      <c r="D64" s="2" t="s">
        <v>43</v>
      </c>
      <c r="E64" s="12" t="s">
        <v>711</v>
      </c>
      <c r="F64" s="2"/>
      <c r="G64" s="2" t="s">
        <v>16</v>
      </c>
      <c r="H64" s="2">
        <v>86</v>
      </c>
      <c r="I64" s="2">
        <v>71</v>
      </c>
      <c r="J64" s="2">
        <v>80</v>
      </c>
      <c r="K64" s="2">
        <v>77</v>
      </c>
      <c r="L64" s="2">
        <v>95</v>
      </c>
      <c r="M64" s="2" t="s">
        <v>20</v>
      </c>
      <c r="N64" s="2" t="s">
        <v>19</v>
      </c>
      <c r="O64" s="2">
        <v>409</v>
      </c>
      <c r="P64" s="2">
        <v>81.8</v>
      </c>
      <c r="Q64" s="2"/>
      <c r="R64" s="2"/>
      <c r="S64" s="2"/>
    </row>
    <row r="65" spans="1:19" x14ac:dyDescent="0.25">
      <c r="A65" s="1"/>
      <c r="B65" s="2"/>
      <c r="C65" s="2"/>
      <c r="D65" s="2"/>
      <c r="E65" s="2"/>
      <c r="F65" s="2"/>
      <c r="G65" s="2" t="s">
        <v>17</v>
      </c>
      <c r="H65" s="2">
        <v>95</v>
      </c>
      <c r="I65" s="2">
        <v>66</v>
      </c>
      <c r="J65" s="2">
        <v>76</v>
      </c>
      <c r="K65" s="2">
        <v>72</v>
      </c>
      <c r="L65" s="2">
        <v>74</v>
      </c>
      <c r="M65" s="2" t="s">
        <v>19</v>
      </c>
      <c r="N65" s="2" t="s">
        <v>19</v>
      </c>
      <c r="O65" s="2">
        <v>383</v>
      </c>
      <c r="P65" s="2">
        <v>76.599999999999994</v>
      </c>
      <c r="Q65" s="2"/>
      <c r="R65" s="2"/>
      <c r="S65" s="2"/>
    </row>
    <row r="66" spans="1:19" x14ac:dyDescent="0.25">
      <c r="A66" s="1">
        <v>33</v>
      </c>
      <c r="B66" s="2" t="s">
        <v>165</v>
      </c>
      <c r="C66" s="2"/>
      <c r="D66" s="2" t="s">
        <v>43</v>
      </c>
      <c r="E66" s="40" t="s">
        <v>527</v>
      </c>
      <c r="F66" s="2"/>
      <c r="G66" s="2" t="s">
        <v>16</v>
      </c>
      <c r="H66" s="2">
        <v>100</v>
      </c>
      <c r="I66" s="2">
        <v>68</v>
      </c>
      <c r="J66" s="2">
        <v>70</v>
      </c>
      <c r="K66" s="2">
        <v>65</v>
      </c>
      <c r="L66" s="2">
        <v>79</v>
      </c>
      <c r="M66" s="2" t="s">
        <v>19</v>
      </c>
      <c r="N66" s="2" t="s">
        <v>21</v>
      </c>
      <c r="O66" s="2">
        <v>382</v>
      </c>
      <c r="P66" s="2">
        <v>76.400000000000006</v>
      </c>
      <c r="Q66" s="2"/>
      <c r="R66" s="2" t="s">
        <v>20</v>
      </c>
      <c r="S66" s="2"/>
    </row>
    <row r="67" spans="1:19" x14ac:dyDescent="0.25">
      <c r="A67" s="1"/>
      <c r="B67" s="2"/>
      <c r="C67" s="2"/>
      <c r="D67" s="2"/>
      <c r="E67" s="2"/>
      <c r="F67" s="2"/>
      <c r="G67" s="2" t="s">
        <v>17</v>
      </c>
      <c r="H67" s="2">
        <v>90</v>
      </c>
      <c r="I67" s="2">
        <v>73</v>
      </c>
      <c r="J67" s="2">
        <v>82</v>
      </c>
      <c r="K67" s="2">
        <v>69</v>
      </c>
      <c r="L67" s="2">
        <v>81</v>
      </c>
      <c r="M67" s="2" t="s">
        <v>19</v>
      </c>
      <c r="N67" s="2" t="s">
        <v>21</v>
      </c>
      <c r="O67" s="2">
        <v>395</v>
      </c>
      <c r="P67" s="2">
        <v>79</v>
      </c>
      <c r="Q67" s="2"/>
      <c r="R67" s="2" t="s">
        <v>20</v>
      </c>
      <c r="S67" s="2"/>
    </row>
    <row r="68" spans="1:19" x14ac:dyDescent="0.25">
      <c r="A68" s="1">
        <v>34</v>
      </c>
      <c r="B68" s="2" t="s">
        <v>166</v>
      </c>
      <c r="C68" s="2"/>
      <c r="D68" s="2" t="s">
        <v>43</v>
      </c>
      <c r="E68" s="40" t="s">
        <v>528</v>
      </c>
      <c r="F68" s="2"/>
      <c r="G68" s="2" t="s">
        <v>16</v>
      </c>
      <c r="H68" s="2">
        <v>80</v>
      </c>
      <c r="I68" s="2">
        <v>53</v>
      </c>
      <c r="J68" s="2">
        <v>66</v>
      </c>
      <c r="K68" s="2">
        <v>73</v>
      </c>
      <c r="L68" s="2">
        <v>79</v>
      </c>
      <c r="M68" s="2" t="s">
        <v>19</v>
      </c>
      <c r="N68" s="2" t="s">
        <v>21</v>
      </c>
      <c r="O68" s="2">
        <v>351</v>
      </c>
      <c r="P68" s="2">
        <v>70.2</v>
      </c>
      <c r="Q68" s="2"/>
      <c r="R68" s="2" t="s">
        <v>20</v>
      </c>
      <c r="S68" s="2"/>
    </row>
    <row r="69" spans="1:19" x14ac:dyDescent="0.25">
      <c r="A69" s="1"/>
      <c r="B69" s="2"/>
      <c r="C69" s="2"/>
      <c r="D69" s="2"/>
      <c r="E69" s="2"/>
      <c r="F69" s="2"/>
      <c r="G69" s="2" t="s">
        <v>17</v>
      </c>
      <c r="H69" s="2">
        <v>94</v>
      </c>
      <c r="I69" s="2">
        <v>57</v>
      </c>
      <c r="J69" s="2">
        <v>80</v>
      </c>
      <c r="K69" s="2">
        <v>74</v>
      </c>
      <c r="L69" s="2">
        <v>74</v>
      </c>
      <c r="M69" s="2" t="s">
        <v>21</v>
      </c>
      <c r="N69" s="2" t="s">
        <v>21</v>
      </c>
      <c r="O69" s="2">
        <v>379</v>
      </c>
      <c r="P69" s="2">
        <v>75.8</v>
      </c>
      <c r="Q69" s="2"/>
      <c r="R69" s="2" t="s">
        <v>20</v>
      </c>
      <c r="S69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C00000"/>
  </sheetPr>
  <dimension ref="A1:T37"/>
  <sheetViews>
    <sheetView topLeftCell="C1" zoomScale="89" zoomScaleNormal="89" zoomScalePageLayoutView="89" workbookViewId="0">
      <selection activeCell="S1" sqref="S1"/>
    </sheetView>
  </sheetViews>
  <sheetFormatPr defaultColWidth="11.125" defaultRowHeight="15.75" x14ac:dyDescent="0.25"/>
  <cols>
    <col min="1" max="1" width="7.5" style="2" customWidth="1"/>
    <col min="2" max="2" width="25.625" style="2" customWidth="1"/>
    <col min="3" max="3" width="8.125" style="2" bestFit="1" customWidth="1"/>
    <col min="4" max="4" width="8.5" style="2" customWidth="1"/>
    <col min="5" max="5" width="10.375" style="2" bestFit="1" customWidth="1"/>
    <col min="6" max="6" width="8.5" style="2" customWidth="1"/>
    <col min="7" max="16384" width="11.125" style="2"/>
  </cols>
  <sheetData>
    <row r="1" spans="1:20" s="37" customFormat="1" ht="132.75" x14ac:dyDescent="0.25">
      <c r="A1" s="5" t="s">
        <v>0</v>
      </c>
      <c r="B1" s="6" t="s">
        <v>4</v>
      </c>
      <c r="C1" s="6" t="s">
        <v>3</v>
      </c>
      <c r="D1" s="6" t="s">
        <v>2</v>
      </c>
      <c r="E1" s="6" t="s">
        <v>383</v>
      </c>
      <c r="F1" s="6" t="s">
        <v>384</v>
      </c>
      <c r="G1" s="6" t="s">
        <v>385</v>
      </c>
      <c r="H1" s="6" t="s">
        <v>5</v>
      </c>
      <c r="I1" s="6" t="s">
        <v>6</v>
      </c>
      <c r="J1" s="6" t="s">
        <v>7</v>
      </c>
      <c r="K1" s="6" t="s">
        <v>736</v>
      </c>
      <c r="L1" s="6" t="s">
        <v>8</v>
      </c>
      <c r="M1" s="6" t="s">
        <v>167</v>
      </c>
      <c r="N1" s="52" t="s">
        <v>735</v>
      </c>
      <c r="O1" s="6" t="s">
        <v>9</v>
      </c>
      <c r="P1" s="6" t="s">
        <v>10</v>
      </c>
      <c r="Q1" s="6" t="s">
        <v>11</v>
      </c>
      <c r="R1" s="6" t="s">
        <v>12</v>
      </c>
      <c r="S1" s="6" t="s">
        <v>13</v>
      </c>
      <c r="T1" s="36" t="s">
        <v>14</v>
      </c>
    </row>
    <row r="2" spans="1:20" x14ac:dyDescent="0.25">
      <c r="A2" s="1">
        <v>1</v>
      </c>
      <c r="B2" s="2" t="s">
        <v>168</v>
      </c>
      <c r="E2" s="40" t="s">
        <v>529</v>
      </c>
      <c r="G2" s="2" t="s">
        <v>16</v>
      </c>
      <c r="H2" s="2">
        <v>99</v>
      </c>
      <c r="I2" s="2">
        <v>76</v>
      </c>
      <c r="J2" s="2">
        <v>63.7</v>
      </c>
      <c r="K2" s="2">
        <v>69.8</v>
      </c>
      <c r="L2" s="2">
        <v>83.13</v>
      </c>
      <c r="M2" s="2">
        <v>84</v>
      </c>
      <c r="N2" s="2" t="s">
        <v>19</v>
      </c>
      <c r="O2" s="2" t="s">
        <v>21</v>
      </c>
      <c r="P2" s="2">
        <v>475.63</v>
      </c>
      <c r="Q2" s="2">
        <v>79.27</v>
      </c>
      <c r="R2" s="2">
        <v>13</v>
      </c>
      <c r="S2" s="2" t="s">
        <v>20</v>
      </c>
      <c r="T2" s="26"/>
    </row>
    <row r="3" spans="1:20" x14ac:dyDescent="0.25">
      <c r="A3" s="1"/>
      <c r="G3" s="2" t="s">
        <v>17</v>
      </c>
      <c r="H3" s="2">
        <v>90</v>
      </c>
      <c r="I3" s="2">
        <v>88</v>
      </c>
      <c r="J3" s="2">
        <v>77</v>
      </c>
      <c r="K3" s="2">
        <v>81</v>
      </c>
      <c r="L3" s="2">
        <v>81.61</v>
      </c>
      <c r="M3" s="2">
        <v>79</v>
      </c>
      <c r="N3" s="2" t="s">
        <v>20</v>
      </c>
      <c r="O3" s="2" t="s">
        <v>20</v>
      </c>
      <c r="P3" s="2">
        <v>496.61</v>
      </c>
      <c r="Q3" s="2">
        <v>82.76</v>
      </c>
      <c r="R3" s="2">
        <v>11</v>
      </c>
      <c r="S3" s="2" t="s">
        <v>20</v>
      </c>
      <c r="T3" s="26"/>
    </row>
    <row r="4" spans="1:20" x14ac:dyDescent="0.25">
      <c r="A4" s="1">
        <v>2</v>
      </c>
      <c r="B4" s="2" t="s">
        <v>169</v>
      </c>
      <c r="E4" s="41" t="s">
        <v>530</v>
      </c>
      <c r="G4" s="2" t="s">
        <v>16</v>
      </c>
      <c r="H4" s="2">
        <v>100</v>
      </c>
      <c r="I4" s="2">
        <v>76</v>
      </c>
      <c r="J4" s="2">
        <v>93</v>
      </c>
      <c r="K4" s="2">
        <v>92</v>
      </c>
      <c r="L4" s="2">
        <v>89.3</v>
      </c>
      <c r="M4" s="2">
        <v>89</v>
      </c>
      <c r="N4" s="2" t="s">
        <v>20</v>
      </c>
      <c r="O4" s="2" t="s">
        <v>20</v>
      </c>
      <c r="P4" s="2">
        <v>539.29999999999995</v>
      </c>
      <c r="Q4" s="2">
        <v>89.05</v>
      </c>
      <c r="R4" s="2">
        <v>9</v>
      </c>
      <c r="S4" s="2" t="s">
        <v>20</v>
      </c>
      <c r="T4" s="26"/>
    </row>
    <row r="5" spans="1:20" x14ac:dyDescent="0.25">
      <c r="A5" s="1"/>
      <c r="G5" s="2" t="s">
        <v>17</v>
      </c>
      <c r="H5" s="2">
        <v>96</v>
      </c>
      <c r="I5" s="2">
        <v>96</v>
      </c>
      <c r="J5" s="2">
        <v>96</v>
      </c>
      <c r="K5" s="2">
        <v>94</v>
      </c>
      <c r="L5" s="2">
        <v>92</v>
      </c>
      <c r="M5" s="2">
        <v>97</v>
      </c>
      <c r="N5" s="2" t="s">
        <v>20</v>
      </c>
      <c r="O5" s="2" t="s">
        <v>20</v>
      </c>
      <c r="P5" s="2">
        <v>571</v>
      </c>
      <c r="Q5" s="2">
        <v>95.16</v>
      </c>
      <c r="R5" s="2">
        <v>7</v>
      </c>
      <c r="S5" s="2" t="s">
        <v>20</v>
      </c>
      <c r="T5" s="26"/>
    </row>
    <row r="6" spans="1:20" x14ac:dyDescent="0.25">
      <c r="A6" s="1">
        <v>3</v>
      </c>
      <c r="B6" s="2" t="s">
        <v>170</v>
      </c>
      <c r="E6" s="40" t="s">
        <v>531</v>
      </c>
      <c r="G6" s="2" t="s">
        <v>16</v>
      </c>
      <c r="H6" s="2">
        <v>100</v>
      </c>
      <c r="I6" s="2">
        <v>83</v>
      </c>
      <c r="J6" s="2">
        <v>85.3</v>
      </c>
      <c r="K6" s="2">
        <v>77.3</v>
      </c>
      <c r="L6" s="2">
        <v>89.15</v>
      </c>
      <c r="M6" s="2">
        <v>94</v>
      </c>
      <c r="N6" s="2" t="s">
        <v>20</v>
      </c>
      <c r="O6" s="2" t="s">
        <v>19</v>
      </c>
      <c r="P6" s="2">
        <v>528.75</v>
      </c>
      <c r="Q6" s="2">
        <v>88.12</v>
      </c>
      <c r="R6" s="2">
        <v>10</v>
      </c>
      <c r="S6" s="2" t="s">
        <v>19</v>
      </c>
      <c r="T6" s="26"/>
    </row>
    <row r="7" spans="1:20" x14ac:dyDescent="0.25">
      <c r="A7" s="1"/>
      <c r="G7" s="2" t="s">
        <v>17</v>
      </c>
      <c r="H7" s="2">
        <v>89</v>
      </c>
      <c r="I7" s="2">
        <v>94</v>
      </c>
      <c r="J7" s="2">
        <v>76</v>
      </c>
      <c r="K7" s="2">
        <v>93</v>
      </c>
      <c r="L7" s="2">
        <v>93.8</v>
      </c>
      <c r="M7" s="2">
        <v>93</v>
      </c>
      <c r="N7" s="2" t="s">
        <v>20</v>
      </c>
      <c r="O7" s="2" t="s">
        <v>19</v>
      </c>
      <c r="P7" s="2">
        <v>538.79999999999995</v>
      </c>
      <c r="Q7" s="2">
        <v>89.8</v>
      </c>
      <c r="R7" s="2">
        <v>9</v>
      </c>
      <c r="S7" s="2" t="s">
        <v>19</v>
      </c>
      <c r="T7" s="26"/>
    </row>
    <row r="8" spans="1:20" x14ac:dyDescent="0.25">
      <c r="A8" s="1">
        <v>4</v>
      </c>
      <c r="B8" s="2" t="s">
        <v>171</v>
      </c>
      <c r="E8" s="40" t="s">
        <v>532</v>
      </c>
      <c r="G8" s="2" t="s">
        <v>16</v>
      </c>
      <c r="H8" s="2">
        <v>100</v>
      </c>
      <c r="I8" s="2">
        <v>87</v>
      </c>
      <c r="J8" s="2">
        <v>99.55</v>
      </c>
      <c r="K8" s="2">
        <v>86.7</v>
      </c>
      <c r="L8" s="2">
        <v>95.44</v>
      </c>
      <c r="M8" s="2">
        <v>90</v>
      </c>
      <c r="N8" s="2" t="s">
        <v>20</v>
      </c>
      <c r="O8" s="2" t="s">
        <v>19</v>
      </c>
      <c r="P8" s="2">
        <v>558.69000000000005</v>
      </c>
      <c r="Q8" s="2">
        <v>93.11</v>
      </c>
      <c r="R8" s="2">
        <v>7</v>
      </c>
      <c r="S8" s="2" t="s">
        <v>20</v>
      </c>
      <c r="T8" s="26"/>
    </row>
    <row r="9" spans="1:20" x14ac:dyDescent="0.25">
      <c r="A9" s="1"/>
      <c r="G9" s="2" t="s">
        <v>17</v>
      </c>
      <c r="H9" s="2">
        <v>98</v>
      </c>
      <c r="I9" s="2">
        <v>94</v>
      </c>
      <c r="J9" s="2">
        <v>94</v>
      </c>
      <c r="K9" s="2">
        <v>94</v>
      </c>
      <c r="L9" s="2">
        <v>86.8</v>
      </c>
      <c r="M9" s="2">
        <v>93</v>
      </c>
      <c r="N9" s="2" t="s">
        <v>19</v>
      </c>
      <c r="O9" s="2" t="s">
        <v>20</v>
      </c>
      <c r="P9" s="2">
        <v>559.79999999999995</v>
      </c>
      <c r="Q9" s="2">
        <v>93.3</v>
      </c>
      <c r="R9" s="2">
        <v>8</v>
      </c>
      <c r="S9" s="2" t="s">
        <v>20</v>
      </c>
      <c r="T9" s="26"/>
    </row>
    <row r="10" spans="1:20" x14ac:dyDescent="0.25">
      <c r="A10" s="1">
        <v>5</v>
      </c>
      <c r="B10" s="2" t="s">
        <v>172</v>
      </c>
      <c r="D10" s="2" t="s">
        <v>42</v>
      </c>
      <c r="E10" s="12" t="s">
        <v>712</v>
      </c>
      <c r="G10" s="2" t="s">
        <v>16</v>
      </c>
      <c r="H10" s="2">
        <v>94</v>
      </c>
      <c r="I10" s="2">
        <v>81</v>
      </c>
      <c r="J10" s="2">
        <v>75.05</v>
      </c>
      <c r="K10" s="2">
        <v>77.099999999999994</v>
      </c>
      <c r="L10" s="2">
        <v>85.53</v>
      </c>
      <c r="M10" s="2">
        <v>60</v>
      </c>
      <c r="N10" s="2" t="s">
        <v>20</v>
      </c>
      <c r="O10" s="2" t="s">
        <v>19</v>
      </c>
      <c r="P10" s="2">
        <v>472.68</v>
      </c>
      <c r="Q10" s="2">
        <v>78.78</v>
      </c>
      <c r="R10" s="2">
        <v>14</v>
      </c>
      <c r="S10" s="2" t="s">
        <v>20</v>
      </c>
      <c r="T10" s="26"/>
    </row>
    <row r="11" spans="1:20" x14ac:dyDescent="0.25">
      <c r="A11" s="1"/>
      <c r="G11" s="2" t="s">
        <v>17</v>
      </c>
      <c r="H11" s="2">
        <v>83</v>
      </c>
      <c r="I11" s="2">
        <v>81</v>
      </c>
      <c r="J11" s="2">
        <v>69</v>
      </c>
      <c r="K11" s="2">
        <v>81</v>
      </c>
      <c r="L11" s="2">
        <v>73.61</v>
      </c>
      <c r="M11" s="2">
        <v>66</v>
      </c>
      <c r="N11" s="2" t="s">
        <v>20</v>
      </c>
      <c r="O11" s="2" t="s">
        <v>20</v>
      </c>
      <c r="P11" s="2">
        <v>453.61</v>
      </c>
      <c r="Q11" s="2">
        <v>75.599999999999994</v>
      </c>
      <c r="R11" s="2">
        <v>14</v>
      </c>
      <c r="T11" s="26"/>
    </row>
    <row r="12" spans="1:20" x14ac:dyDescent="0.25">
      <c r="A12" s="1">
        <v>6</v>
      </c>
      <c r="B12" s="2" t="s">
        <v>173</v>
      </c>
      <c r="E12" s="51" t="s">
        <v>533</v>
      </c>
      <c r="G12" s="2" t="s">
        <v>16</v>
      </c>
      <c r="H12" s="2">
        <v>100</v>
      </c>
      <c r="I12" s="2">
        <v>100</v>
      </c>
      <c r="J12" s="2">
        <v>100</v>
      </c>
      <c r="K12" s="2">
        <v>99</v>
      </c>
      <c r="L12" s="2">
        <v>98.3</v>
      </c>
      <c r="M12" s="2">
        <v>98</v>
      </c>
      <c r="N12" s="2" t="s">
        <v>20</v>
      </c>
      <c r="O12" s="2" t="s">
        <v>20</v>
      </c>
      <c r="P12" s="2">
        <v>595.29999999999995</v>
      </c>
      <c r="Q12" s="2">
        <v>99.21</v>
      </c>
      <c r="R12" s="2">
        <v>1</v>
      </c>
      <c r="S12" s="2" t="s">
        <v>20</v>
      </c>
      <c r="T12" s="26"/>
    </row>
    <row r="13" spans="1:20" x14ac:dyDescent="0.25">
      <c r="A13" s="1"/>
      <c r="G13" s="2" t="s">
        <v>17</v>
      </c>
      <c r="H13" s="2">
        <v>100</v>
      </c>
      <c r="I13" s="2">
        <v>100</v>
      </c>
      <c r="J13" s="2">
        <v>99.4</v>
      </c>
      <c r="K13" s="2">
        <v>100</v>
      </c>
      <c r="L13" s="2">
        <v>100</v>
      </c>
      <c r="M13" s="2">
        <v>100</v>
      </c>
      <c r="N13" s="2" t="s">
        <v>19</v>
      </c>
      <c r="O13" s="2" t="s">
        <v>23</v>
      </c>
      <c r="P13" s="2">
        <v>594.4</v>
      </c>
      <c r="Q13" s="2">
        <v>99.9</v>
      </c>
      <c r="R13" s="2">
        <v>1</v>
      </c>
      <c r="T13" s="26"/>
    </row>
    <row r="14" spans="1:20" x14ac:dyDescent="0.25">
      <c r="A14" s="1">
        <v>7</v>
      </c>
      <c r="B14" s="2" t="s">
        <v>174</v>
      </c>
      <c r="E14" s="40" t="s">
        <v>534</v>
      </c>
      <c r="G14" s="2" t="s">
        <v>16</v>
      </c>
      <c r="H14" s="2">
        <v>97</v>
      </c>
      <c r="I14" s="2">
        <v>68</v>
      </c>
      <c r="J14" s="2">
        <v>51.9</v>
      </c>
      <c r="K14" s="2">
        <v>61.5</v>
      </c>
      <c r="L14" s="2">
        <v>74.69</v>
      </c>
      <c r="M14" s="2">
        <v>59</v>
      </c>
      <c r="N14" s="2" t="s">
        <v>21</v>
      </c>
      <c r="O14" s="2" t="s">
        <v>21</v>
      </c>
      <c r="P14" s="2">
        <v>412.09</v>
      </c>
      <c r="Q14" s="2">
        <v>68.680000000000007</v>
      </c>
      <c r="R14" s="2">
        <v>16</v>
      </c>
      <c r="S14" s="2" t="s">
        <v>20</v>
      </c>
      <c r="T14" s="26"/>
    </row>
    <row r="15" spans="1:20" x14ac:dyDescent="0.25">
      <c r="A15" s="1"/>
      <c r="G15" s="2" t="s">
        <v>17</v>
      </c>
      <c r="H15" s="2">
        <v>80</v>
      </c>
      <c r="I15" s="2">
        <v>73</v>
      </c>
      <c r="J15" s="2">
        <v>36</v>
      </c>
      <c r="K15" s="2">
        <v>78</v>
      </c>
      <c r="L15" s="2">
        <v>71.099999999999994</v>
      </c>
      <c r="M15" s="2">
        <v>72</v>
      </c>
      <c r="N15" s="2" t="s">
        <v>19</v>
      </c>
      <c r="O15" s="2" t="s">
        <v>21</v>
      </c>
      <c r="P15" s="2">
        <v>401.1</v>
      </c>
      <c r="Q15" s="2">
        <v>68.349999999999994</v>
      </c>
      <c r="R15" s="2">
        <v>18</v>
      </c>
      <c r="S15" s="2" t="s">
        <v>20</v>
      </c>
      <c r="T15" s="26"/>
    </row>
    <row r="16" spans="1:20" x14ac:dyDescent="0.25">
      <c r="A16" s="1">
        <v>8</v>
      </c>
      <c r="B16" s="2" t="s">
        <v>175</v>
      </c>
      <c r="E16" s="40" t="s">
        <v>535</v>
      </c>
      <c r="G16" s="2" t="s">
        <v>16</v>
      </c>
      <c r="H16" s="2">
        <v>100</v>
      </c>
      <c r="I16" s="2">
        <v>91</v>
      </c>
      <c r="J16" s="2">
        <v>94.85</v>
      </c>
      <c r="K16" s="2">
        <v>94.1</v>
      </c>
      <c r="L16" s="2">
        <v>98</v>
      </c>
      <c r="M16" s="2">
        <v>99</v>
      </c>
      <c r="N16" s="2" t="s">
        <v>19</v>
      </c>
      <c r="O16" s="2" t="s">
        <v>20</v>
      </c>
      <c r="P16" s="2">
        <v>576.95000000000005</v>
      </c>
      <c r="Q16" s="2">
        <v>96.15</v>
      </c>
      <c r="R16" s="2">
        <v>4</v>
      </c>
      <c r="S16" s="2" t="s">
        <v>20</v>
      </c>
      <c r="T16" s="26"/>
    </row>
    <row r="17" spans="1:20" x14ac:dyDescent="0.25">
      <c r="A17" s="1"/>
      <c r="G17" s="2" t="s">
        <v>17</v>
      </c>
      <c r="H17" s="2">
        <v>96</v>
      </c>
      <c r="I17" s="2">
        <v>97</v>
      </c>
      <c r="J17" s="2">
        <v>89</v>
      </c>
      <c r="K17" s="2">
        <v>100</v>
      </c>
      <c r="L17" s="2">
        <v>98</v>
      </c>
      <c r="M17" s="2">
        <v>98</v>
      </c>
      <c r="N17" s="2" t="s">
        <v>19</v>
      </c>
      <c r="O17" s="2" t="s">
        <v>20</v>
      </c>
      <c r="P17" s="2">
        <v>578</v>
      </c>
      <c r="Q17" s="2">
        <v>96.33</v>
      </c>
      <c r="R17" s="2">
        <v>6</v>
      </c>
      <c r="S17" s="2" t="s">
        <v>20</v>
      </c>
      <c r="T17" s="26"/>
    </row>
    <row r="18" spans="1:20" x14ac:dyDescent="0.25">
      <c r="A18" s="1">
        <v>9</v>
      </c>
      <c r="B18" s="2" t="s">
        <v>176</v>
      </c>
      <c r="E18" s="44" t="s">
        <v>536</v>
      </c>
      <c r="G18" s="2" t="s">
        <v>16</v>
      </c>
      <c r="H18" s="2">
        <v>73</v>
      </c>
      <c r="I18" s="2">
        <v>51</v>
      </c>
      <c r="J18" s="2">
        <v>74.599999999999994</v>
      </c>
      <c r="K18" s="2">
        <v>58.1</v>
      </c>
      <c r="L18" s="2">
        <v>67.5</v>
      </c>
      <c r="M18" s="2">
        <v>69</v>
      </c>
      <c r="N18" s="2" t="s">
        <v>20</v>
      </c>
      <c r="O18" s="2" t="s">
        <v>21</v>
      </c>
      <c r="P18" s="2">
        <v>393.2</v>
      </c>
      <c r="Q18" s="2">
        <v>65.53</v>
      </c>
      <c r="R18" s="2">
        <v>18</v>
      </c>
      <c r="S18" s="2" t="s">
        <v>19</v>
      </c>
      <c r="T18" s="26"/>
    </row>
    <row r="19" spans="1:20" x14ac:dyDescent="0.25">
      <c r="A19" s="1"/>
      <c r="G19" s="2" t="s">
        <v>17</v>
      </c>
      <c r="H19" s="2">
        <v>84</v>
      </c>
      <c r="I19" s="2">
        <v>65</v>
      </c>
      <c r="J19" s="2">
        <v>56</v>
      </c>
      <c r="K19" s="2">
        <v>68</v>
      </c>
      <c r="L19" s="2">
        <v>64.900000000000006</v>
      </c>
      <c r="M19" s="2">
        <v>78</v>
      </c>
      <c r="N19" s="2" t="s">
        <v>19</v>
      </c>
      <c r="O19" s="2" t="s">
        <v>19</v>
      </c>
      <c r="P19" s="2">
        <v>415.9</v>
      </c>
      <c r="Q19" s="2">
        <v>69.31</v>
      </c>
      <c r="R19" s="2">
        <v>17</v>
      </c>
      <c r="S19" s="2" t="s">
        <v>92</v>
      </c>
      <c r="T19" s="26"/>
    </row>
    <row r="20" spans="1:20" x14ac:dyDescent="0.25">
      <c r="A20" s="1">
        <v>10</v>
      </c>
      <c r="B20" s="2" t="s">
        <v>177</v>
      </c>
      <c r="E20" s="41" t="s">
        <v>537</v>
      </c>
      <c r="G20" s="2" t="s">
        <v>16</v>
      </c>
      <c r="H20" s="2">
        <v>83</v>
      </c>
      <c r="I20" s="2">
        <v>68</v>
      </c>
      <c r="J20" s="2">
        <v>42.5</v>
      </c>
      <c r="K20" s="2">
        <v>68.2</v>
      </c>
      <c r="L20" s="2">
        <v>71.8</v>
      </c>
      <c r="M20" s="2">
        <v>68</v>
      </c>
      <c r="N20" s="2" t="s">
        <v>19</v>
      </c>
      <c r="O20" s="2" t="s">
        <v>21</v>
      </c>
      <c r="P20" s="2">
        <v>401.5</v>
      </c>
      <c r="Q20" s="2">
        <v>66.91</v>
      </c>
      <c r="R20" s="2">
        <v>17</v>
      </c>
      <c r="S20" s="2" t="s">
        <v>19</v>
      </c>
      <c r="T20" s="26"/>
    </row>
    <row r="21" spans="1:20" x14ac:dyDescent="0.25">
      <c r="A21" s="1"/>
      <c r="G21" s="2" t="s">
        <v>17</v>
      </c>
      <c r="H21" s="2">
        <v>68</v>
      </c>
      <c r="I21" s="2">
        <v>80</v>
      </c>
      <c r="J21" s="2">
        <v>52</v>
      </c>
      <c r="K21" s="2">
        <v>76</v>
      </c>
      <c r="L21" s="2">
        <v>85.3</v>
      </c>
      <c r="M21" s="2">
        <v>56</v>
      </c>
      <c r="N21" s="2" t="s">
        <v>20</v>
      </c>
      <c r="O21" s="2" t="s">
        <v>20</v>
      </c>
      <c r="P21" s="2">
        <v>417.3</v>
      </c>
      <c r="Q21" s="2">
        <v>69.55</v>
      </c>
      <c r="R21" s="2">
        <v>16</v>
      </c>
      <c r="S21" s="2" t="s">
        <v>19</v>
      </c>
      <c r="T21" s="26"/>
    </row>
    <row r="22" spans="1:20" x14ac:dyDescent="0.25">
      <c r="A22" s="1">
        <v>11</v>
      </c>
      <c r="B22" s="2" t="s">
        <v>178</v>
      </c>
      <c r="E22" s="40" t="s">
        <v>538</v>
      </c>
      <c r="G22" s="2" t="s">
        <v>16</v>
      </c>
      <c r="H22" s="2">
        <v>100</v>
      </c>
      <c r="I22" s="2">
        <v>98</v>
      </c>
      <c r="J22" s="2">
        <v>99.25</v>
      </c>
      <c r="K22" s="2">
        <v>90.2</v>
      </c>
      <c r="L22" s="2">
        <v>97.3</v>
      </c>
      <c r="M22" s="2">
        <v>96</v>
      </c>
      <c r="N22" s="2" t="s">
        <v>20</v>
      </c>
      <c r="O22" s="2" t="s">
        <v>23</v>
      </c>
      <c r="P22" s="2">
        <v>580.75</v>
      </c>
      <c r="Q22" s="2">
        <v>96.79</v>
      </c>
      <c r="R22" s="2">
        <v>3</v>
      </c>
      <c r="S22" s="2" t="s">
        <v>20</v>
      </c>
      <c r="T22" s="26"/>
    </row>
    <row r="23" spans="1:20" x14ac:dyDescent="0.25">
      <c r="A23" s="1"/>
      <c r="G23" s="2" t="s">
        <v>17</v>
      </c>
      <c r="H23" s="2">
        <v>100</v>
      </c>
      <c r="I23" s="2">
        <v>100</v>
      </c>
      <c r="J23" s="2">
        <v>98</v>
      </c>
      <c r="K23" s="2">
        <v>99</v>
      </c>
      <c r="L23" s="2">
        <v>100</v>
      </c>
      <c r="M23" s="2">
        <v>100</v>
      </c>
      <c r="N23" s="2" t="s">
        <v>20</v>
      </c>
      <c r="O23" s="2" t="s">
        <v>23</v>
      </c>
      <c r="P23" s="2">
        <v>597</v>
      </c>
      <c r="Q23" s="2">
        <v>99.5</v>
      </c>
      <c r="R23" s="2">
        <v>2</v>
      </c>
      <c r="T23" s="26"/>
    </row>
    <row r="24" spans="1:20" x14ac:dyDescent="0.25">
      <c r="A24" s="1">
        <v>12</v>
      </c>
      <c r="B24" s="2" t="s">
        <v>179</v>
      </c>
      <c r="E24" s="40" t="s">
        <v>539</v>
      </c>
      <c r="G24" s="2" t="s">
        <v>16</v>
      </c>
      <c r="H24" s="2">
        <v>96</v>
      </c>
      <c r="I24" s="2">
        <v>81</v>
      </c>
      <c r="J24" s="2">
        <v>91.45</v>
      </c>
      <c r="K24" s="2">
        <v>92.2</v>
      </c>
      <c r="L24" s="2">
        <v>97.3</v>
      </c>
      <c r="M24" s="2">
        <v>94</v>
      </c>
      <c r="N24" s="2" t="s">
        <v>19</v>
      </c>
      <c r="O24" s="2" t="s">
        <v>20</v>
      </c>
      <c r="P24" s="2">
        <v>551.95000000000005</v>
      </c>
      <c r="Q24" s="2">
        <v>91.99</v>
      </c>
      <c r="R24" s="2">
        <v>8</v>
      </c>
      <c r="S24" s="2" t="s">
        <v>19</v>
      </c>
      <c r="T24" s="26"/>
    </row>
    <row r="25" spans="1:20" x14ac:dyDescent="0.25">
      <c r="A25" s="1"/>
      <c r="G25" s="2" t="s">
        <v>17</v>
      </c>
      <c r="H25" s="2">
        <v>79</v>
      </c>
      <c r="I25" s="2">
        <v>92</v>
      </c>
      <c r="J25" s="2">
        <v>87</v>
      </c>
      <c r="K25" s="2">
        <v>92</v>
      </c>
      <c r="L25" s="2">
        <v>94.6</v>
      </c>
      <c r="M25" s="2">
        <v>78</v>
      </c>
      <c r="N25" s="2" t="s">
        <v>19</v>
      </c>
      <c r="O25" s="2" t="s">
        <v>20</v>
      </c>
      <c r="P25" s="2">
        <v>522.6</v>
      </c>
      <c r="Q25" s="2">
        <v>87.1</v>
      </c>
      <c r="R25" s="2">
        <v>10</v>
      </c>
      <c r="S25" s="2" t="s">
        <v>19</v>
      </c>
      <c r="T25" s="26"/>
    </row>
    <row r="26" spans="1:20" x14ac:dyDescent="0.25">
      <c r="A26" s="1">
        <v>13</v>
      </c>
      <c r="B26" s="2" t="s">
        <v>180</v>
      </c>
      <c r="E26" s="40" t="s">
        <v>540</v>
      </c>
      <c r="G26" s="2" t="s">
        <v>16</v>
      </c>
      <c r="H26" s="2">
        <v>98</v>
      </c>
      <c r="I26" s="2">
        <v>72</v>
      </c>
      <c r="J26" s="2">
        <v>61.75</v>
      </c>
      <c r="K26" s="2">
        <v>72.900000000000006</v>
      </c>
      <c r="L26" s="2">
        <v>79</v>
      </c>
      <c r="M26" s="2">
        <v>76</v>
      </c>
      <c r="N26" s="2" t="s">
        <v>20</v>
      </c>
      <c r="O26" s="2" t="s">
        <v>21</v>
      </c>
      <c r="P26" s="2">
        <v>459.66</v>
      </c>
      <c r="Q26" s="2">
        <v>76.599999999999994</v>
      </c>
      <c r="R26" s="2">
        <v>15</v>
      </c>
      <c r="S26" s="2" t="s">
        <v>19</v>
      </c>
      <c r="T26" s="26"/>
    </row>
    <row r="27" spans="1:20" x14ac:dyDescent="0.25">
      <c r="A27" s="1"/>
      <c r="G27" s="2" t="s">
        <v>17</v>
      </c>
      <c r="H27" s="2">
        <v>75</v>
      </c>
      <c r="I27" s="2">
        <v>86</v>
      </c>
      <c r="J27" s="2">
        <v>57</v>
      </c>
      <c r="K27" s="2">
        <v>72</v>
      </c>
      <c r="L27" s="2">
        <v>78.8</v>
      </c>
      <c r="M27" s="2">
        <v>82</v>
      </c>
      <c r="N27" s="2" t="s">
        <v>20</v>
      </c>
      <c r="O27" s="2" t="s">
        <v>19</v>
      </c>
      <c r="P27" s="2">
        <v>450.8</v>
      </c>
      <c r="Q27" s="2">
        <v>75.13</v>
      </c>
      <c r="R27" s="2">
        <v>15</v>
      </c>
      <c r="S27" s="2" t="s">
        <v>19</v>
      </c>
      <c r="T27" s="26"/>
    </row>
    <row r="28" spans="1:20" x14ac:dyDescent="0.25">
      <c r="A28" s="1">
        <v>14</v>
      </c>
      <c r="B28" s="2" t="s">
        <v>181</v>
      </c>
      <c r="E28" s="42" t="s">
        <v>541</v>
      </c>
      <c r="G28" s="2" t="s">
        <v>16</v>
      </c>
      <c r="H28" s="2">
        <v>96</v>
      </c>
      <c r="I28" s="2">
        <v>85</v>
      </c>
      <c r="J28" s="2">
        <v>92.3</v>
      </c>
      <c r="K28" s="2">
        <v>80.5</v>
      </c>
      <c r="L28" s="2">
        <v>91.2</v>
      </c>
      <c r="M28" s="2">
        <v>77</v>
      </c>
      <c r="N28" s="2" t="s">
        <v>20</v>
      </c>
      <c r="O28" s="2" t="s">
        <v>19</v>
      </c>
      <c r="P28" s="2">
        <v>522</v>
      </c>
      <c r="Q28" s="2">
        <v>87</v>
      </c>
      <c r="R28" s="2">
        <v>11</v>
      </c>
      <c r="S28" s="2" t="s">
        <v>20</v>
      </c>
      <c r="T28" s="26"/>
    </row>
    <row r="29" spans="1:20" x14ac:dyDescent="0.25">
      <c r="A29" s="1"/>
      <c r="G29" s="2" t="s">
        <v>17</v>
      </c>
      <c r="H29" s="2">
        <v>75</v>
      </c>
      <c r="I29" s="2">
        <v>98</v>
      </c>
      <c r="J29" s="2">
        <v>85</v>
      </c>
      <c r="K29" s="2">
        <v>88</v>
      </c>
      <c r="L29" s="2">
        <v>85.1</v>
      </c>
      <c r="M29" s="2">
        <v>64</v>
      </c>
      <c r="N29" s="2" t="s">
        <v>20</v>
      </c>
      <c r="O29" s="2" t="s">
        <v>20</v>
      </c>
      <c r="P29" s="2">
        <v>495.1</v>
      </c>
      <c r="Q29" s="2">
        <v>82.51</v>
      </c>
      <c r="R29" s="2">
        <v>13</v>
      </c>
      <c r="S29" s="2" t="s">
        <v>20</v>
      </c>
      <c r="T29" s="26"/>
    </row>
    <row r="30" spans="1:20" x14ac:dyDescent="0.25">
      <c r="A30" s="1">
        <v>15</v>
      </c>
      <c r="B30" s="2" t="s">
        <v>182</v>
      </c>
      <c r="E30" s="40" t="s">
        <v>542</v>
      </c>
      <c r="G30" s="2" t="s">
        <v>16</v>
      </c>
      <c r="H30" s="2">
        <v>100</v>
      </c>
      <c r="I30" s="2">
        <v>88</v>
      </c>
      <c r="J30" s="2">
        <v>98.35</v>
      </c>
      <c r="K30" s="2">
        <v>94.3</v>
      </c>
      <c r="L30" s="2">
        <v>96.32</v>
      </c>
      <c r="M30" s="2">
        <v>99</v>
      </c>
      <c r="N30" s="2" t="s">
        <v>19</v>
      </c>
      <c r="O30" s="2" t="s">
        <v>20</v>
      </c>
      <c r="P30" s="2">
        <v>575.97</v>
      </c>
      <c r="Q30" s="2">
        <v>95.99</v>
      </c>
      <c r="R30" s="2">
        <v>5</v>
      </c>
      <c r="S30" s="2" t="s">
        <v>20</v>
      </c>
      <c r="T30" s="26"/>
    </row>
    <row r="31" spans="1:20" x14ac:dyDescent="0.25">
      <c r="A31" s="1"/>
      <c r="G31" s="2" t="s">
        <v>17</v>
      </c>
      <c r="H31" s="2">
        <v>100</v>
      </c>
      <c r="I31" s="2">
        <v>100</v>
      </c>
      <c r="J31" s="2">
        <v>96</v>
      </c>
      <c r="K31" s="2">
        <v>100</v>
      </c>
      <c r="L31" s="2">
        <v>97.2</v>
      </c>
      <c r="M31" s="2">
        <v>98</v>
      </c>
      <c r="N31" s="2" t="s">
        <v>20</v>
      </c>
      <c r="O31" s="2" t="s">
        <v>20</v>
      </c>
      <c r="P31" s="2">
        <v>591.20000000000005</v>
      </c>
      <c r="Q31" s="2">
        <v>98.53</v>
      </c>
      <c r="R31" s="2">
        <v>3</v>
      </c>
      <c r="S31" s="2" t="s">
        <v>19</v>
      </c>
      <c r="T31" s="26"/>
    </row>
    <row r="32" spans="1:20" x14ac:dyDescent="0.25">
      <c r="A32" s="1">
        <v>16</v>
      </c>
      <c r="B32" s="2" t="s">
        <v>183</v>
      </c>
      <c r="E32" s="2" t="s">
        <v>543</v>
      </c>
      <c r="G32" s="2" t="s">
        <v>16</v>
      </c>
      <c r="H32" s="2">
        <v>97</v>
      </c>
      <c r="I32" s="2">
        <v>88</v>
      </c>
      <c r="J32" s="2">
        <v>68.95</v>
      </c>
      <c r="K32" s="2">
        <v>80.3</v>
      </c>
      <c r="L32" s="2">
        <v>88.05</v>
      </c>
      <c r="M32" s="2">
        <v>92</v>
      </c>
      <c r="N32" s="2" t="s">
        <v>19</v>
      </c>
      <c r="O32" s="2" t="s">
        <v>20</v>
      </c>
      <c r="P32" s="2">
        <v>514.29999999999995</v>
      </c>
      <c r="Q32" s="2">
        <v>85.71</v>
      </c>
      <c r="R32" s="2">
        <v>12</v>
      </c>
      <c r="S32" s="2" t="s">
        <v>20</v>
      </c>
      <c r="T32" s="26"/>
    </row>
    <row r="33" spans="1:20" x14ac:dyDescent="0.25">
      <c r="A33" s="1"/>
      <c r="G33" s="2" t="s">
        <v>17</v>
      </c>
      <c r="H33" s="2">
        <v>80</v>
      </c>
      <c r="I33" s="2">
        <v>89</v>
      </c>
      <c r="J33" s="2">
        <v>72</v>
      </c>
      <c r="K33" s="2">
        <v>89</v>
      </c>
      <c r="L33" s="2">
        <v>82.1</v>
      </c>
      <c r="M33" s="2">
        <v>84</v>
      </c>
      <c r="N33" s="2" t="s">
        <v>20</v>
      </c>
      <c r="O33" s="2" t="s">
        <v>20</v>
      </c>
      <c r="P33" s="2">
        <v>496.1</v>
      </c>
      <c r="Q33" s="2">
        <v>82.68</v>
      </c>
      <c r="R33" s="2">
        <v>12</v>
      </c>
      <c r="S33" s="2" t="s">
        <v>20</v>
      </c>
      <c r="T33" s="26"/>
    </row>
    <row r="34" spans="1:20" x14ac:dyDescent="0.25">
      <c r="A34" s="1">
        <v>17</v>
      </c>
      <c r="B34" s="2" t="s">
        <v>184</v>
      </c>
      <c r="E34" s="2" t="s">
        <v>544</v>
      </c>
      <c r="G34" s="2" t="s">
        <v>16</v>
      </c>
      <c r="H34" s="2">
        <v>100</v>
      </c>
      <c r="I34" s="2">
        <v>98</v>
      </c>
      <c r="J34" s="2">
        <v>100</v>
      </c>
      <c r="K34" s="2">
        <v>100</v>
      </c>
      <c r="L34" s="2">
        <v>98.6</v>
      </c>
      <c r="M34" s="2">
        <v>93</v>
      </c>
      <c r="N34" s="2" t="s">
        <v>20</v>
      </c>
      <c r="O34" s="2" t="s">
        <v>23</v>
      </c>
      <c r="P34" s="2">
        <v>589.6</v>
      </c>
      <c r="Q34" s="2">
        <v>98.26</v>
      </c>
      <c r="R34" s="2">
        <v>2</v>
      </c>
      <c r="S34" s="2" t="s">
        <v>19</v>
      </c>
      <c r="T34" s="26"/>
    </row>
    <row r="35" spans="1:20" x14ac:dyDescent="0.25">
      <c r="A35" s="1"/>
      <c r="G35" s="2" t="s">
        <v>17</v>
      </c>
      <c r="H35" s="2">
        <v>97</v>
      </c>
      <c r="I35" s="2">
        <v>100</v>
      </c>
      <c r="J35" s="2">
        <v>99</v>
      </c>
      <c r="K35" s="2">
        <v>100</v>
      </c>
      <c r="L35" s="2">
        <v>98.6</v>
      </c>
      <c r="M35" s="2">
        <v>96</v>
      </c>
      <c r="N35" s="2" t="s">
        <v>20</v>
      </c>
      <c r="O35" s="2" t="s">
        <v>20</v>
      </c>
      <c r="P35" s="2">
        <v>590.6</v>
      </c>
      <c r="Q35" s="2">
        <v>98.43</v>
      </c>
      <c r="R35" s="2">
        <v>4</v>
      </c>
      <c r="S35" s="2" t="s">
        <v>19</v>
      </c>
      <c r="T35" s="26"/>
    </row>
    <row r="36" spans="1:20" x14ac:dyDescent="0.25">
      <c r="A36" s="1">
        <v>18</v>
      </c>
      <c r="B36" s="2" t="s">
        <v>185</v>
      </c>
      <c r="E36" s="2" t="s">
        <v>545</v>
      </c>
      <c r="G36" s="2" t="s">
        <v>16</v>
      </c>
      <c r="H36" s="2">
        <v>100</v>
      </c>
      <c r="I36" s="2">
        <v>93</v>
      </c>
      <c r="J36" s="2">
        <v>98.85</v>
      </c>
      <c r="K36" s="2">
        <v>88.7</v>
      </c>
      <c r="L36" s="2">
        <v>95.3</v>
      </c>
      <c r="M36" s="2">
        <v>92</v>
      </c>
      <c r="N36" s="2" t="s">
        <v>20</v>
      </c>
      <c r="O36" s="2" t="s">
        <v>20</v>
      </c>
      <c r="P36" s="2">
        <v>567.85</v>
      </c>
      <c r="Q36" s="2">
        <v>94.64</v>
      </c>
      <c r="R36" s="2">
        <v>6</v>
      </c>
      <c r="S36" s="2" t="s">
        <v>20</v>
      </c>
      <c r="T36" s="26"/>
    </row>
    <row r="37" spans="1:20" x14ac:dyDescent="0.25">
      <c r="A37" s="1"/>
      <c r="G37" s="2" t="s">
        <v>17</v>
      </c>
      <c r="H37" s="2">
        <v>95</v>
      </c>
      <c r="I37" s="2">
        <v>97</v>
      </c>
      <c r="J37" s="2">
        <v>97</v>
      </c>
      <c r="K37" s="2">
        <v>100</v>
      </c>
      <c r="L37" s="2">
        <v>96.9</v>
      </c>
      <c r="M37" s="2">
        <v>98</v>
      </c>
      <c r="N37" s="2" t="s">
        <v>19</v>
      </c>
      <c r="O37" s="2" t="s">
        <v>20</v>
      </c>
      <c r="P37" s="2">
        <v>583.9</v>
      </c>
      <c r="Q37" s="2">
        <v>97.31</v>
      </c>
      <c r="R37" s="2">
        <v>5</v>
      </c>
      <c r="S37" s="2" t="s">
        <v>20</v>
      </c>
      <c r="T37" s="26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C00000"/>
  </sheetPr>
  <dimension ref="A1:U41"/>
  <sheetViews>
    <sheetView topLeftCell="D1" zoomScale="85" zoomScaleNormal="85" zoomScalePageLayoutView="85" workbookViewId="0">
      <selection activeCell="S1" sqref="S1"/>
    </sheetView>
  </sheetViews>
  <sheetFormatPr defaultColWidth="11.125" defaultRowHeight="15.75" x14ac:dyDescent="0.25"/>
  <cols>
    <col min="1" max="1" width="7.5" style="14" customWidth="1"/>
    <col min="2" max="2" width="25.625" style="14" customWidth="1"/>
    <col min="3" max="3" width="8.625" style="14" bestFit="1" customWidth="1"/>
    <col min="4" max="4" width="8.5" style="14" customWidth="1"/>
    <col min="5" max="5" width="10.75" style="14" bestFit="1" customWidth="1"/>
    <col min="6" max="6" width="8.5" style="14" customWidth="1"/>
    <col min="7" max="16384" width="11.125" style="14"/>
  </cols>
  <sheetData>
    <row r="1" spans="1:21" ht="132.75" x14ac:dyDescent="0.25">
      <c r="A1" s="20" t="s">
        <v>0</v>
      </c>
      <c r="B1" s="19" t="s">
        <v>388</v>
      </c>
      <c r="C1" s="19" t="s">
        <v>3</v>
      </c>
      <c r="D1" s="19" t="s">
        <v>2</v>
      </c>
      <c r="E1" s="19" t="s">
        <v>383</v>
      </c>
      <c r="F1" s="19" t="s">
        <v>384</v>
      </c>
      <c r="G1" s="19" t="s">
        <v>385</v>
      </c>
      <c r="H1" s="19" t="s">
        <v>5</v>
      </c>
      <c r="I1" s="19" t="s">
        <v>6</v>
      </c>
      <c r="J1" s="19" t="s">
        <v>7</v>
      </c>
      <c r="K1" s="6" t="s">
        <v>736</v>
      </c>
      <c r="L1" s="19" t="s">
        <v>8</v>
      </c>
      <c r="M1" s="19" t="s">
        <v>167</v>
      </c>
      <c r="N1" s="52" t="s">
        <v>735</v>
      </c>
      <c r="O1" s="19" t="s">
        <v>9</v>
      </c>
      <c r="P1" s="19" t="s">
        <v>10</v>
      </c>
      <c r="Q1" s="19" t="s">
        <v>11</v>
      </c>
      <c r="R1" s="19" t="s">
        <v>12</v>
      </c>
      <c r="S1" s="19" t="s">
        <v>13</v>
      </c>
      <c r="T1" s="19" t="s">
        <v>14</v>
      </c>
      <c r="U1" s="18"/>
    </row>
    <row r="2" spans="1:21" x14ac:dyDescent="0.25">
      <c r="A2" s="17">
        <v>1</v>
      </c>
      <c r="B2" s="9" t="s">
        <v>372</v>
      </c>
      <c r="C2" s="9">
        <v>10</v>
      </c>
      <c r="D2" s="9" t="s">
        <v>43</v>
      </c>
      <c r="E2" s="38" t="s">
        <v>546</v>
      </c>
      <c r="F2" s="9"/>
      <c r="G2" s="9" t="s">
        <v>16</v>
      </c>
      <c r="H2" s="9">
        <v>83</v>
      </c>
      <c r="I2" s="9">
        <v>52</v>
      </c>
      <c r="J2" s="9">
        <v>43.5</v>
      </c>
      <c r="K2" s="9">
        <v>40</v>
      </c>
      <c r="L2" s="9">
        <v>45.4</v>
      </c>
      <c r="M2" s="9">
        <v>43</v>
      </c>
      <c r="N2" s="9" t="s">
        <v>19</v>
      </c>
      <c r="O2" s="9" t="s">
        <v>21</v>
      </c>
      <c r="P2" s="9">
        <v>306.89999999999998</v>
      </c>
      <c r="Q2" s="9">
        <v>51.15</v>
      </c>
      <c r="R2" s="9">
        <v>20</v>
      </c>
      <c r="S2" s="9" t="s">
        <v>21</v>
      </c>
      <c r="T2" s="9"/>
    </row>
    <row r="3" spans="1:21" x14ac:dyDescent="0.25">
      <c r="A3" s="17"/>
      <c r="B3" s="9"/>
      <c r="C3" s="9"/>
      <c r="D3" s="9"/>
      <c r="E3" s="9"/>
      <c r="F3" s="9"/>
      <c r="G3" s="9" t="s">
        <v>17</v>
      </c>
      <c r="H3" s="9">
        <v>75</v>
      </c>
      <c r="I3" s="9">
        <v>65</v>
      </c>
      <c r="J3" s="9">
        <v>52</v>
      </c>
      <c r="K3" s="9">
        <v>66</v>
      </c>
      <c r="L3" s="9">
        <v>56</v>
      </c>
      <c r="M3" s="9">
        <v>55</v>
      </c>
      <c r="N3" s="9" t="s">
        <v>19</v>
      </c>
      <c r="O3" s="9" t="s">
        <v>126</v>
      </c>
      <c r="P3" s="9">
        <v>369</v>
      </c>
      <c r="Q3" s="9">
        <v>61.5</v>
      </c>
      <c r="R3" s="9">
        <v>18</v>
      </c>
      <c r="S3" s="9" t="s">
        <v>19</v>
      </c>
      <c r="T3" s="9"/>
    </row>
    <row r="4" spans="1:21" x14ac:dyDescent="0.25">
      <c r="A4" s="17">
        <v>2</v>
      </c>
      <c r="B4" s="9" t="s">
        <v>371</v>
      </c>
      <c r="C4" s="9">
        <v>11</v>
      </c>
      <c r="D4" s="9" t="s">
        <v>43</v>
      </c>
      <c r="E4" s="9" t="s">
        <v>547</v>
      </c>
      <c r="F4" s="9"/>
      <c r="G4" s="9" t="s">
        <v>16</v>
      </c>
      <c r="H4" s="9">
        <v>96</v>
      </c>
      <c r="I4" s="9">
        <v>80</v>
      </c>
      <c r="J4" s="9">
        <v>90.8</v>
      </c>
      <c r="K4" s="9">
        <v>64</v>
      </c>
      <c r="L4" s="9">
        <v>80.489999999999995</v>
      </c>
      <c r="M4" s="9">
        <v>70</v>
      </c>
      <c r="N4" s="9" t="s">
        <v>19</v>
      </c>
      <c r="O4" s="9" t="s">
        <v>21</v>
      </c>
      <c r="P4" s="9">
        <v>481.29</v>
      </c>
      <c r="Q4" s="9">
        <v>80.209999999999994</v>
      </c>
      <c r="R4" s="9">
        <v>10</v>
      </c>
      <c r="S4" s="9" t="s">
        <v>21</v>
      </c>
      <c r="T4" s="9"/>
    </row>
    <row r="5" spans="1:21" x14ac:dyDescent="0.25">
      <c r="A5" s="17"/>
      <c r="B5" s="9"/>
      <c r="C5" s="9"/>
      <c r="D5" s="9"/>
      <c r="E5" s="9"/>
      <c r="F5" s="9"/>
      <c r="G5" s="9" t="s">
        <v>17</v>
      </c>
      <c r="H5" s="9">
        <v>93</v>
      </c>
      <c r="I5" s="9">
        <v>89</v>
      </c>
      <c r="J5" s="9">
        <v>77</v>
      </c>
      <c r="K5" s="9">
        <v>89</v>
      </c>
      <c r="L5" s="9">
        <v>87</v>
      </c>
      <c r="M5" s="9">
        <v>84</v>
      </c>
      <c r="N5" s="9" t="s">
        <v>20</v>
      </c>
      <c r="O5" s="9" t="s">
        <v>126</v>
      </c>
      <c r="P5" s="9">
        <v>519</v>
      </c>
      <c r="Q5" s="9">
        <v>86.5</v>
      </c>
      <c r="R5" s="9">
        <v>8</v>
      </c>
      <c r="S5" s="9" t="s">
        <v>19</v>
      </c>
      <c r="T5" s="9"/>
    </row>
    <row r="6" spans="1:21" x14ac:dyDescent="0.25">
      <c r="A6" s="17">
        <v>3</v>
      </c>
      <c r="B6" s="9" t="s">
        <v>370</v>
      </c>
      <c r="C6" s="9">
        <v>10</v>
      </c>
      <c r="D6" s="9" t="s">
        <v>43</v>
      </c>
      <c r="E6" s="12" t="s">
        <v>713</v>
      </c>
      <c r="F6" s="9"/>
      <c r="G6" s="9" t="s">
        <v>16</v>
      </c>
      <c r="H6" s="9">
        <v>84</v>
      </c>
      <c r="I6" s="9">
        <v>46</v>
      </c>
      <c r="J6" s="9">
        <v>50.3</v>
      </c>
      <c r="K6" s="9">
        <v>41</v>
      </c>
      <c r="L6" s="9">
        <v>55.53</v>
      </c>
      <c r="M6" s="9">
        <v>35</v>
      </c>
      <c r="N6" s="9" t="s">
        <v>20</v>
      </c>
      <c r="O6" s="9" t="s">
        <v>21</v>
      </c>
      <c r="P6" s="9">
        <v>311.83</v>
      </c>
      <c r="Q6" s="9">
        <v>51.97</v>
      </c>
      <c r="R6" s="9">
        <v>19</v>
      </c>
      <c r="S6" s="9" t="s">
        <v>20</v>
      </c>
      <c r="T6" s="9"/>
    </row>
    <row r="7" spans="1:21" x14ac:dyDescent="0.25">
      <c r="A7" s="17"/>
      <c r="B7" s="9"/>
      <c r="C7" s="9"/>
      <c r="D7" s="9"/>
      <c r="E7" s="9"/>
      <c r="F7" s="9"/>
      <c r="G7" s="9" t="s">
        <v>17</v>
      </c>
      <c r="H7" s="9">
        <v>79</v>
      </c>
      <c r="I7" s="9">
        <v>64</v>
      </c>
      <c r="J7" s="9">
        <v>37</v>
      </c>
      <c r="K7" s="9">
        <v>43</v>
      </c>
      <c r="L7" s="9">
        <v>52</v>
      </c>
      <c r="M7" s="9">
        <v>48</v>
      </c>
      <c r="N7" s="9" t="s">
        <v>19</v>
      </c>
      <c r="O7" s="9" t="s">
        <v>126</v>
      </c>
      <c r="P7" s="9">
        <v>323</v>
      </c>
      <c r="Q7" s="9">
        <v>53.83</v>
      </c>
      <c r="R7" s="9">
        <v>19</v>
      </c>
      <c r="S7" s="9" t="s">
        <v>20</v>
      </c>
      <c r="T7" s="9"/>
    </row>
    <row r="8" spans="1:21" x14ac:dyDescent="0.25">
      <c r="A8" s="17">
        <v>4</v>
      </c>
      <c r="B8" s="9" t="s">
        <v>369</v>
      </c>
      <c r="C8" s="9">
        <v>10</v>
      </c>
      <c r="D8" s="9" t="s">
        <v>43</v>
      </c>
      <c r="E8" s="9" t="s">
        <v>548</v>
      </c>
      <c r="F8" s="9"/>
      <c r="G8" s="9" t="s">
        <v>16</v>
      </c>
      <c r="H8" s="9">
        <v>72</v>
      </c>
      <c r="I8" s="9">
        <v>68</v>
      </c>
      <c r="J8" s="9">
        <v>68.400000000000006</v>
      </c>
      <c r="K8" s="9">
        <v>76</v>
      </c>
      <c r="L8" s="9">
        <v>71.599999999999994</v>
      </c>
      <c r="M8" s="9">
        <v>51</v>
      </c>
      <c r="N8" s="9" t="s">
        <v>19</v>
      </c>
      <c r="O8" s="9" t="s">
        <v>21</v>
      </c>
      <c r="P8" s="9">
        <v>407</v>
      </c>
      <c r="Q8" s="9">
        <v>67.83</v>
      </c>
      <c r="R8" s="9">
        <v>15</v>
      </c>
      <c r="S8" s="9" t="s">
        <v>21</v>
      </c>
      <c r="T8" s="9"/>
    </row>
    <row r="9" spans="1:21" x14ac:dyDescent="0.25">
      <c r="A9" s="17"/>
      <c r="B9" s="9"/>
      <c r="C9" s="9"/>
      <c r="D9" s="9"/>
      <c r="E9" s="9"/>
      <c r="F9" s="9"/>
      <c r="G9" s="9" t="s">
        <v>17</v>
      </c>
      <c r="H9" s="9">
        <v>66</v>
      </c>
      <c r="I9" s="9">
        <v>81</v>
      </c>
      <c r="J9" s="9">
        <v>49</v>
      </c>
      <c r="K9" s="9">
        <v>75</v>
      </c>
      <c r="L9" s="9">
        <v>78</v>
      </c>
      <c r="M9" s="9">
        <v>56</v>
      </c>
      <c r="N9" s="9" t="s">
        <v>19</v>
      </c>
      <c r="O9" s="9" t="s">
        <v>126</v>
      </c>
      <c r="P9" s="9">
        <v>405</v>
      </c>
      <c r="Q9" s="9">
        <v>67.5</v>
      </c>
      <c r="R9" s="9">
        <v>15</v>
      </c>
      <c r="S9" s="9" t="s">
        <v>19</v>
      </c>
      <c r="T9" s="9"/>
    </row>
    <row r="10" spans="1:21" x14ac:dyDescent="0.25">
      <c r="A10" s="17">
        <v>5</v>
      </c>
      <c r="B10" s="9" t="s">
        <v>368</v>
      </c>
      <c r="C10" s="9">
        <v>10</v>
      </c>
      <c r="D10" s="9" t="s">
        <v>43</v>
      </c>
      <c r="E10" s="12" t="s">
        <v>714</v>
      </c>
      <c r="F10" s="9"/>
      <c r="G10" s="9" t="s">
        <v>16</v>
      </c>
      <c r="H10" s="9">
        <v>98</v>
      </c>
      <c r="I10" s="9">
        <v>79</v>
      </c>
      <c r="J10" s="9">
        <v>56.7</v>
      </c>
      <c r="K10" s="9">
        <v>58</v>
      </c>
      <c r="L10" s="9">
        <v>84.7</v>
      </c>
      <c r="M10" s="9">
        <v>66</v>
      </c>
      <c r="N10" s="9" t="s">
        <v>20</v>
      </c>
      <c r="O10" s="9" t="s">
        <v>21</v>
      </c>
      <c r="P10" s="9">
        <v>442.4</v>
      </c>
      <c r="Q10" s="9">
        <v>73.73</v>
      </c>
      <c r="R10" s="9">
        <v>14</v>
      </c>
      <c r="S10" s="9" t="s">
        <v>20</v>
      </c>
      <c r="T10" s="9"/>
    </row>
    <row r="11" spans="1:21" x14ac:dyDescent="0.25">
      <c r="A11" s="17"/>
      <c r="B11" s="9"/>
      <c r="C11" s="9"/>
      <c r="D11" s="9"/>
      <c r="E11" s="9"/>
      <c r="F11" s="9"/>
      <c r="G11" s="9" t="s">
        <v>17</v>
      </c>
      <c r="H11" s="9">
        <v>90</v>
      </c>
      <c r="I11" s="9">
        <v>69</v>
      </c>
      <c r="J11" s="9">
        <v>34</v>
      </c>
      <c r="K11" s="9">
        <v>56</v>
      </c>
      <c r="L11" s="9">
        <v>67</v>
      </c>
      <c r="M11" s="9">
        <v>70</v>
      </c>
      <c r="N11" s="9" t="s">
        <v>19</v>
      </c>
      <c r="O11" s="9" t="s">
        <v>19</v>
      </c>
      <c r="P11" s="9">
        <v>386</v>
      </c>
      <c r="Q11" s="9">
        <v>64.3</v>
      </c>
      <c r="R11" s="9">
        <v>17</v>
      </c>
      <c r="S11" s="9" t="s">
        <v>20</v>
      </c>
      <c r="T11" s="9"/>
    </row>
    <row r="12" spans="1:21" x14ac:dyDescent="0.25">
      <c r="A12" s="17">
        <v>6</v>
      </c>
      <c r="B12" s="9" t="s">
        <v>367</v>
      </c>
      <c r="C12" s="9">
        <v>10</v>
      </c>
      <c r="D12" s="9" t="s">
        <v>43</v>
      </c>
      <c r="E12" s="9" t="s">
        <v>549</v>
      </c>
      <c r="F12" s="9"/>
      <c r="G12" s="9" t="s">
        <v>16</v>
      </c>
      <c r="H12" s="9">
        <v>98</v>
      </c>
      <c r="I12" s="9">
        <v>89</v>
      </c>
      <c r="J12" s="9">
        <v>95.8</v>
      </c>
      <c r="K12" s="9">
        <v>80</v>
      </c>
      <c r="L12" s="9">
        <v>84</v>
      </c>
      <c r="M12" s="9">
        <v>82</v>
      </c>
      <c r="N12" s="9" t="s">
        <v>20</v>
      </c>
      <c r="O12" s="9" t="s">
        <v>19</v>
      </c>
      <c r="P12" s="9">
        <v>528.79999999999995</v>
      </c>
      <c r="Q12" s="9">
        <v>88.13</v>
      </c>
      <c r="R12" s="9">
        <v>5</v>
      </c>
      <c r="S12" s="9" t="s">
        <v>20</v>
      </c>
      <c r="T12" s="9"/>
    </row>
    <row r="13" spans="1:21" x14ac:dyDescent="0.25">
      <c r="A13" s="17"/>
      <c r="B13" s="9"/>
      <c r="C13" s="9"/>
      <c r="D13" s="9"/>
      <c r="E13" s="9"/>
      <c r="F13" s="9"/>
      <c r="G13" s="9" t="s">
        <v>17</v>
      </c>
      <c r="H13" s="9">
        <v>99</v>
      </c>
      <c r="I13" s="9">
        <v>87</v>
      </c>
      <c r="J13" s="9">
        <v>88</v>
      </c>
      <c r="K13" s="9">
        <v>90</v>
      </c>
      <c r="L13" s="9">
        <v>90</v>
      </c>
      <c r="M13" s="9">
        <v>89</v>
      </c>
      <c r="N13" s="9" t="s">
        <v>20</v>
      </c>
      <c r="O13" s="9" t="s">
        <v>19</v>
      </c>
      <c r="P13" s="9">
        <v>543</v>
      </c>
      <c r="Q13" s="9">
        <v>90.5</v>
      </c>
      <c r="R13" s="9">
        <v>5</v>
      </c>
      <c r="S13" s="9" t="s">
        <v>20</v>
      </c>
      <c r="T13" s="9"/>
    </row>
    <row r="14" spans="1:21" x14ac:dyDescent="0.25">
      <c r="A14" s="17">
        <v>7</v>
      </c>
      <c r="B14" s="9" t="s">
        <v>366</v>
      </c>
      <c r="C14" s="9">
        <v>10</v>
      </c>
      <c r="D14" s="9" t="s">
        <v>42</v>
      </c>
      <c r="E14" s="9" t="s">
        <v>550</v>
      </c>
      <c r="F14" s="9"/>
      <c r="G14" s="9" t="s">
        <v>16</v>
      </c>
      <c r="H14" s="9">
        <v>95</v>
      </c>
      <c r="I14" s="9">
        <v>82</v>
      </c>
      <c r="J14" s="9">
        <v>59.3</v>
      </c>
      <c r="K14" s="9">
        <v>60</v>
      </c>
      <c r="L14" s="9">
        <v>72.2</v>
      </c>
      <c r="M14" s="9">
        <v>84</v>
      </c>
      <c r="N14" s="9" t="s">
        <v>20</v>
      </c>
      <c r="O14" s="9" t="s">
        <v>19</v>
      </c>
      <c r="P14" s="9">
        <v>452.5</v>
      </c>
      <c r="Q14" s="9">
        <v>75.41</v>
      </c>
      <c r="R14" s="9">
        <v>13</v>
      </c>
      <c r="S14" s="9" t="s">
        <v>20</v>
      </c>
      <c r="T14" s="9"/>
    </row>
    <row r="15" spans="1:21" x14ac:dyDescent="0.25">
      <c r="A15" s="17"/>
      <c r="B15" s="9"/>
      <c r="C15" s="9"/>
      <c r="D15" s="9"/>
      <c r="E15" s="9"/>
      <c r="F15" s="9"/>
      <c r="G15" s="9" t="s">
        <v>17</v>
      </c>
      <c r="H15" s="9">
        <v>78</v>
      </c>
      <c r="I15" s="9">
        <v>72</v>
      </c>
      <c r="J15" s="9">
        <v>47</v>
      </c>
      <c r="K15" s="9">
        <v>73</v>
      </c>
      <c r="L15" s="9">
        <v>77</v>
      </c>
      <c r="M15" s="9">
        <v>91</v>
      </c>
      <c r="N15" s="9" t="s">
        <v>19</v>
      </c>
      <c r="O15" s="9" t="s">
        <v>21</v>
      </c>
      <c r="P15" s="9">
        <v>438</v>
      </c>
      <c r="Q15" s="9">
        <v>73</v>
      </c>
      <c r="R15" s="9">
        <v>13</v>
      </c>
      <c r="S15" s="9" t="s">
        <v>20</v>
      </c>
      <c r="T15" s="9"/>
    </row>
    <row r="16" spans="1:21" x14ac:dyDescent="0.25">
      <c r="A16" s="17">
        <v>8</v>
      </c>
      <c r="B16" s="9" t="s">
        <v>365</v>
      </c>
      <c r="C16" s="9">
        <v>10</v>
      </c>
      <c r="D16" s="9" t="s">
        <v>42</v>
      </c>
      <c r="E16" s="9" t="s">
        <v>551</v>
      </c>
      <c r="F16" s="9"/>
      <c r="G16" s="9" t="s">
        <v>16</v>
      </c>
      <c r="H16" s="9">
        <v>100</v>
      </c>
      <c r="I16" s="9">
        <v>93</v>
      </c>
      <c r="J16" s="9">
        <v>68.3</v>
      </c>
      <c r="K16" s="9">
        <v>77</v>
      </c>
      <c r="L16" s="9">
        <v>83.72</v>
      </c>
      <c r="M16" s="9">
        <v>92</v>
      </c>
      <c r="N16" s="9" t="s">
        <v>20</v>
      </c>
      <c r="O16" s="9" t="s">
        <v>19</v>
      </c>
      <c r="P16" s="9">
        <v>514.02</v>
      </c>
      <c r="Q16" s="9">
        <v>85.67</v>
      </c>
      <c r="R16" s="9">
        <v>6</v>
      </c>
      <c r="S16" s="9" t="s">
        <v>20</v>
      </c>
      <c r="T16" s="9"/>
    </row>
    <row r="17" spans="1:20" x14ac:dyDescent="0.25">
      <c r="A17" s="17"/>
      <c r="B17" s="9"/>
      <c r="C17" s="9"/>
      <c r="D17" s="9"/>
      <c r="E17" s="9"/>
      <c r="F17" s="9"/>
      <c r="G17" s="9" t="s">
        <v>17</v>
      </c>
      <c r="H17" s="9">
        <v>99</v>
      </c>
      <c r="I17" s="9">
        <v>94</v>
      </c>
      <c r="J17" s="9">
        <v>67</v>
      </c>
      <c r="K17" s="9">
        <v>90</v>
      </c>
      <c r="L17" s="9">
        <v>88</v>
      </c>
      <c r="M17" s="9">
        <v>91</v>
      </c>
      <c r="N17" s="9" t="s">
        <v>20</v>
      </c>
      <c r="O17" s="9" t="s">
        <v>23</v>
      </c>
      <c r="P17" s="9">
        <v>529</v>
      </c>
      <c r="Q17" s="9">
        <v>88.16</v>
      </c>
      <c r="R17" s="9">
        <v>6</v>
      </c>
      <c r="S17" s="9" t="s">
        <v>20</v>
      </c>
      <c r="T17" s="9"/>
    </row>
    <row r="18" spans="1:20" x14ac:dyDescent="0.25">
      <c r="A18" s="17">
        <v>9</v>
      </c>
      <c r="B18" s="9" t="s">
        <v>364</v>
      </c>
      <c r="C18" s="9">
        <v>11</v>
      </c>
      <c r="D18" s="9" t="s">
        <v>42</v>
      </c>
      <c r="E18" s="12" t="s">
        <v>715</v>
      </c>
      <c r="F18" s="9"/>
      <c r="G18" s="9" t="s">
        <v>16</v>
      </c>
      <c r="H18" s="9">
        <v>90</v>
      </c>
      <c r="I18" s="9">
        <v>68</v>
      </c>
      <c r="J18" s="9">
        <v>47.1</v>
      </c>
      <c r="K18" s="9">
        <v>51</v>
      </c>
      <c r="L18" s="9">
        <v>563</v>
      </c>
      <c r="M18" s="9">
        <v>58</v>
      </c>
      <c r="N18" s="9" t="s">
        <v>20</v>
      </c>
      <c r="O18" s="9" t="s">
        <v>21</v>
      </c>
      <c r="P18" s="9">
        <v>370.4</v>
      </c>
      <c r="Q18" s="9">
        <v>61.73</v>
      </c>
      <c r="R18" s="9">
        <v>17</v>
      </c>
      <c r="S18" s="9" t="s">
        <v>20</v>
      </c>
      <c r="T18" s="9"/>
    </row>
    <row r="19" spans="1:20" x14ac:dyDescent="0.25">
      <c r="A19" s="17"/>
      <c r="B19" s="9"/>
      <c r="C19" s="9"/>
      <c r="D19" s="9"/>
      <c r="E19" s="9"/>
      <c r="F19" s="9"/>
      <c r="G19" s="9" t="s">
        <v>17</v>
      </c>
      <c r="H19" s="9">
        <v>63</v>
      </c>
      <c r="I19" s="9">
        <v>70</v>
      </c>
      <c r="J19" s="9">
        <v>60</v>
      </c>
      <c r="K19" s="9">
        <v>74</v>
      </c>
      <c r="L19" s="9">
        <v>75</v>
      </c>
      <c r="M19" s="9">
        <v>59</v>
      </c>
      <c r="N19" s="9" t="s">
        <v>20</v>
      </c>
      <c r="O19" s="9" t="s">
        <v>23</v>
      </c>
      <c r="P19" s="9">
        <v>401</v>
      </c>
      <c r="Q19" s="9">
        <v>66.83</v>
      </c>
      <c r="R19" s="9">
        <v>16</v>
      </c>
      <c r="S19" s="9" t="s">
        <v>20</v>
      </c>
      <c r="T19" s="9"/>
    </row>
    <row r="20" spans="1:20" x14ac:dyDescent="0.25">
      <c r="A20" s="17">
        <v>10</v>
      </c>
      <c r="B20" s="9" t="s">
        <v>363</v>
      </c>
      <c r="C20" s="9">
        <v>10</v>
      </c>
      <c r="D20" s="9" t="s">
        <v>42</v>
      </c>
      <c r="E20" s="9" t="s">
        <v>552</v>
      </c>
      <c r="F20" s="9"/>
      <c r="G20" s="9" t="s">
        <v>16</v>
      </c>
      <c r="H20" s="9">
        <v>99</v>
      </c>
      <c r="I20" s="9">
        <v>100</v>
      </c>
      <c r="J20" s="9">
        <v>95.5</v>
      </c>
      <c r="K20" s="9">
        <v>91</v>
      </c>
      <c r="L20" s="9">
        <v>90.83</v>
      </c>
      <c r="M20" s="9">
        <v>81</v>
      </c>
      <c r="N20" s="9" t="s">
        <v>20</v>
      </c>
      <c r="O20" s="9" t="s">
        <v>23</v>
      </c>
      <c r="P20" s="9">
        <v>557.33000000000004</v>
      </c>
      <c r="Q20" s="9">
        <v>92.88</v>
      </c>
      <c r="R20" s="9">
        <v>3</v>
      </c>
      <c r="S20" s="9" t="s">
        <v>20</v>
      </c>
      <c r="T20" s="9"/>
    </row>
    <row r="21" spans="1:20" x14ac:dyDescent="0.25">
      <c r="A21" s="17"/>
      <c r="B21" s="9"/>
      <c r="C21" s="9"/>
      <c r="D21" s="9"/>
      <c r="E21" s="9"/>
      <c r="F21" s="9"/>
      <c r="G21" s="9" t="s">
        <v>17</v>
      </c>
      <c r="H21" s="9">
        <v>97</v>
      </c>
      <c r="I21" s="9">
        <v>100</v>
      </c>
      <c r="J21" s="9">
        <v>91</v>
      </c>
      <c r="K21" s="9">
        <v>95</v>
      </c>
      <c r="L21" s="9">
        <v>96</v>
      </c>
      <c r="M21" s="9">
        <v>99</v>
      </c>
      <c r="N21" s="9" t="s">
        <v>20</v>
      </c>
      <c r="O21" s="9" t="s">
        <v>23</v>
      </c>
      <c r="P21" s="9">
        <v>578</v>
      </c>
      <c r="Q21" s="9">
        <v>96.3</v>
      </c>
      <c r="R21" s="9">
        <v>1</v>
      </c>
      <c r="S21" s="9" t="s">
        <v>20</v>
      </c>
      <c r="T21" s="9"/>
    </row>
    <row r="22" spans="1:20" x14ac:dyDescent="0.25">
      <c r="A22" s="17">
        <v>11</v>
      </c>
      <c r="B22" s="9" t="s">
        <v>362</v>
      </c>
      <c r="C22" s="9">
        <v>10</v>
      </c>
      <c r="D22" s="9" t="s">
        <v>43</v>
      </c>
      <c r="E22" s="9" t="s">
        <v>553</v>
      </c>
      <c r="F22" s="9"/>
      <c r="G22" s="9" t="s">
        <v>16</v>
      </c>
      <c r="H22" s="9">
        <v>97</v>
      </c>
      <c r="I22" s="9">
        <v>75</v>
      </c>
      <c r="J22" s="9">
        <v>84.4</v>
      </c>
      <c r="K22" s="9">
        <v>66</v>
      </c>
      <c r="L22" s="9">
        <v>85.8</v>
      </c>
      <c r="M22" s="9">
        <v>85</v>
      </c>
      <c r="N22" s="9" t="s">
        <v>20</v>
      </c>
      <c r="O22" s="9" t="s">
        <v>21</v>
      </c>
      <c r="P22" s="9">
        <v>493.2</v>
      </c>
      <c r="Q22" s="9">
        <v>82.2</v>
      </c>
      <c r="R22" s="9">
        <v>8</v>
      </c>
      <c r="S22" s="9" t="s">
        <v>20</v>
      </c>
      <c r="T22" s="9"/>
    </row>
    <row r="23" spans="1:20" x14ac:dyDescent="0.25">
      <c r="A23" s="17"/>
      <c r="B23" s="9"/>
      <c r="C23" s="9"/>
      <c r="D23" s="9"/>
      <c r="E23" s="9"/>
      <c r="F23" s="9"/>
      <c r="G23" s="9" t="s">
        <v>17</v>
      </c>
      <c r="H23" s="9">
        <v>99</v>
      </c>
      <c r="I23" s="9">
        <v>82</v>
      </c>
      <c r="J23" s="9">
        <v>74</v>
      </c>
      <c r="K23" s="9">
        <v>74</v>
      </c>
      <c r="L23" s="9">
        <v>84</v>
      </c>
      <c r="M23" s="9">
        <v>83</v>
      </c>
      <c r="N23" s="9" t="s">
        <v>20</v>
      </c>
      <c r="O23" s="9" t="s">
        <v>21</v>
      </c>
      <c r="P23" s="9">
        <v>496</v>
      </c>
      <c r="Q23" s="9">
        <v>82.6</v>
      </c>
      <c r="R23" s="9">
        <v>10</v>
      </c>
      <c r="S23" s="9" t="s">
        <v>20</v>
      </c>
      <c r="T23" s="9"/>
    </row>
    <row r="24" spans="1:20" x14ac:dyDescent="0.25">
      <c r="A24" s="17">
        <v>12</v>
      </c>
      <c r="B24" s="9" t="s">
        <v>361</v>
      </c>
      <c r="C24" s="9">
        <v>10</v>
      </c>
      <c r="D24" s="9" t="s">
        <v>42</v>
      </c>
      <c r="E24" s="9" t="s">
        <v>554</v>
      </c>
      <c r="F24" s="9"/>
      <c r="G24" s="9" t="s">
        <v>16</v>
      </c>
      <c r="H24" s="9">
        <v>98</v>
      </c>
      <c r="I24" s="9">
        <v>89</v>
      </c>
      <c r="J24" s="9">
        <v>85.05</v>
      </c>
      <c r="K24" s="9">
        <v>62</v>
      </c>
      <c r="L24" s="9">
        <v>76.8</v>
      </c>
      <c r="M24" s="9">
        <v>68</v>
      </c>
      <c r="N24" s="9" t="s">
        <v>20</v>
      </c>
      <c r="O24" s="9" t="s">
        <v>23</v>
      </c>
      <c r="P24" s="9">
        <v>478.85</v>
      </c>
      <c r="Q24" s="9">
        <v>79.8</v>
      </c>
      <c r="R24" s="9">
        <v>11</v>
      </c>
      <c r="S24" s="9" t="s">
        <v>20</v>
      </c>
      <c r="T24" s="9"/>
    </row>
    <row r="25" spans="1:20" x14ac:dyDescent="0.25">
      <c r="A25" s="17"/>
      <c r="B25" s="9"/>
      <c r="C25" s="9"/>
      <c r="D25" s="9"/>
      <c r="E25" s="9"/>
      <c r="F25" s="9"/>
      <c r="G25" s="9" t="s">
        <v>17</v>
      </c>
      <c r="H25" s="9">
        <v>97</v>
      </c>
      <c r="I25" s="9">
        <v>78</v>
      </c>
      <c r="J25" s="9">
        <v>75</v>
      </c>
      <c r="K25" s="9">
        <v>85</v>
      </c>
      <c r="L25" s="9">
        <v>77</v>
      </c>
      <c r="M25" s="9">
        <v>65</v>
      </c>
      <c r="N25" s="9" t="s">
        <v>20</v>
      </c>
      <c r="O25" s="9" t="s">
        <v>23</v>
      </c>
      <c r="P25" s="9">
        <v>477</v>
      </c>
      <c r="Q25" s="9">
        <v>79.5</v>
      </c>
      <c r="R25" s="9">
        <v>11</v>
      </c>
      <c r="S25" s="9" t="s">
        <v>20</v>
      </c>
      <c r="T25" s="9"/>
    </row>
    <row r="26" spans="1:20" x14ac:dyDescent="0.25">
      <c r="A26" s="17">
        <v>13</v>
      </c>
      <c r="B26" s="9" t="s">
        <v>360</v>
      </c>
      <c r="C26" s="9">
        <v>10</v>
      </c>
      <c r="D26" s="9" t="s">
        <v>43</v>
      </c>
      <c r="E26" s="9" t="s">
        <v>555</v>
      </c>
      <c r="F26" s="9"/>
      <c r="G26" s="9" t="s">
        <v>16</v>
      </c>
      <c r="H26" s="9">
        <v>95</v>
      </c>
      <c r="I26" s="9">
        <v>72</v>
      </c>
      <c r="J26" s="9">
        <v>87.3</v>
      </c>
      <c r="K26" s="9">
        <v>59</v>
      </c>
      <c r="L26" s="9">
        <v>89.3</v>
      </c>
      <c r="M26" s="9">
        <v>79</v>
      </c>
      <c r="N26" s="9" t="s">
        <v>19</v>
      </c>
      <c r="O26" s="9" t="s">
        <v>19</v>
      </c>
      <c r="P26" s="9">
        <v>481.6</v>
      </c>
      <c r="Q26" s="9">
        <v>80.260000000000005</v>
      </c>
      <c r="R26" s="9">
        <v>9</v>
      </c>
      <c r="S26" s="9" t="s">
        <v>20</v>
      </c>
      <c r="T26" s="9"/>
    </row>
    <row r="27" spans="1:20" x14ac:dyDescent="0.25">
      <c r="A27" s="17"/>
      <c r="B27" s="9"/>
      <c r="C27" s="9"/>
      <c r="D27" s="9"/>
      <c r="E27" s="9"/>
      <c r="F27" s="9"/>
      <c r="G27" s="9" t="s">
        <v>17</v>
      </c>
      <c r="H27" s="9">
        <v>78</v>
      </c>
      <c r="I27" s="9">
        <v>70</v>
      </c>
      <c r="J27" s="9">
        <v>64</v>
      </c>
      <c r="K27" s="9">
        <v>82</v>
      </c>
      <c r="L27" s="9">
        <v>78</v>
      </c>
      <c r="M27" s="9">
        <v>74</v>
      </c>
      <c r="N27" s="9" t="s">
        <v>19</v>
      </c>
      <c r="O27" s="9" t="s">
        <v>23</v>
      </c>
      <c r="P27" s="9">
        <v>446</v>
      </c>
      <c r="Q27" s="9">
        <v>74.3</v>
      </c>
      <c r="R27" s="9">
        <v>12</v>
      </c>
      <c r="S27" s="9" t="s">
        <v>20</v>
      </c>
      <c r="T27" s="9"/>
    </row>
    <row r="28" spans="1:20" x14ac:dyDescent="0.25">
      <c r="A28" s="16">
        <v>14</v>
      </c>
      <c r="B28" s="15" t="s">
        <v>359</v>
      </c>
      <c r="C28" s="9">
        <v>10</v>
      </c>
      <c r="D28" s="9" t="s">
        <v>43</v>
      </c>
      <c r="E28" s="9" t="s">
        <v>556</v>
      </c>
      <c r="F28" s="9"/>
      <c r="G28" s="9" t="s">
        <v>16</v>
      </c>
      <c r="H28" s="9">
        <v>97</v>
      </c>
      <c r="I28" s="9">
        <v>83</v>
      </c>
      <c r="J28" s="9">
        <v>92.5</v>
      </c>
      <c r="K28" s="9">
        <v>90</v>
      </c>
      <c r="L28" s="9">
        <v>95.6</v>
      </c>
      <c r="M28" s="9">
        <v>92</v>
      </c>
      <c r="N28" s="9" t="s">
        <v>20</v>
      </c>
      <c r="O28" s="9" t="s">
        <v>23</v>
      </c>
      <c r="P28" s="9">
        <v>550.1</v>
      </c>
      <c r="Q28" s="9">
        <v>91.68</v>
      </c>
      <c r="R28" s="9">
        <v>4</v>
      </c>
      <c r="S28" s="15" t="s">
        <v>20</v>
      </c>
      <c r="T28" s="15"/>
    </row>
    <row r="29" spans="1:20" x14ac:dyDescent="0.25">
      <c r="A29" s="17"/>
      <c r="B29" s="9"/>
      <c r="C29" s="9"/>
      <c r="D29" s="9"/>
      <c r="E29" s="9"/>
      <c r="F29" s="9"/>
      <c r="G29" s="9" t="s">
        <v>17</v>
      </c>
      <c r="H29" s="9">
        <v>94</v>
      </c>
      <c r="I29" s="9">
        <v>96</v>
      </c>
      <c r="J29" s="9">
        <v>81</v>
      </c>
      <c r="K29" s="9">
        <v>93</v>
      </c>
      <c r="L29" s="9">
        <v>90</v>
      </c>
      <c r="M29" s="9">
        <v>90</v>
      </c>
      <c r="N29" s="9" t="s">
        <v>19</v>
      </c>
      <c r="O29" s="9" t="s">
        <v>19</v>
      </c>
      <c r="P29" s="9">
        <v>554</v>
      </c>
      <c r="Q29" s="9">
        <v>90.6</v>
      </c>
      <c r="R29" s="9">
        <v>4</v>
      </c>
      <c r="S29" s="9" t="s">
        <v>20</v>
      </c>
      <c r="T29" s="9"/>
    </row>
    <row r="30" spans="1:20" x14ac:dyDescent="0.25">
      <c r="A30" s="17">
        <v>15</v>
      </c>
      <c r="B30" s="9" t="s">
        <v>358</v>
      </c>
      <c r="C30" s="9">
        <v>11</v>
      </c>
      <c r="D30" s="9" t="s">
        <v>43</v>
      </c>
      <c r="E30" s="9" t="s">
        <v>557</v>
      </c>
      <c r="F30" s="9"/>
      <c r="G30" s="9" t="s">
        <v>16</v>
      </c>
      <c r="H30" s="9">
        <v>91</v>
      </c>
      <c r="I30" s="9">
        <v>85</v>
      </c>
      <c r="J30" s="9">
        <v>88.85</v>
      </c>
      <c r="K30" s="9">
        <v>73</v>
      </c>
      <c r="L30" s="9">
        <v>93.7</v>
      </c>
      <c r="M30" s="9">
        <v>69</v>
      </c>
      <c r="N30" s="9" t="s">
        <v>19</v>
      </c>
      <c r="O30" s="9" t="s">
        <v>19</v>
      </c>
      <c r="P30" s="9">
        <v>500.55</v>
      </c>
      <c r="Q30" s="9">
        <v>83.424999999999997</v>
      </c>
      <c r="R30" s="9">
        <v>7</v>
      </c>
      <c r="S30" s="9" t="s">
        <v>20</v>
      </c>
      <c r="T30" s="9"/>
    </row>
    <row r="31" spans="1:20" x14ac:dyDescent="0.25">
      <c r="A31" s="17"/>
      <c r="B31" s="9"/>
      <c r="C31" s="9"/>
      <c r="D31" s="9"/>
      <c r="E31" s="9"/>
      <c r="F31" s="9"/>
      <c r="G31" s="9" t="s">
        <v>17</v>
      </c>
      <c r="H31" s="9">
        <v>88</v>
      </c>
      <c r="I31" s="9">
        <v>100</v>
      </c>
      <c r="J31" s="9">
        <v>74</v>
      </c>
      <c r="K31" s="9">
        <v>87</v>
      </c>
      <c r="L31" s="9">
        <v>93</v>
      </c>
      <c r="M31" s="9">
        <v>79</v>
      </c>
      <c r="N31" s="9" t="s">
        <v>20</v>
      </c>
      <c r="O31" s="9" t="s">
        <v>23</v>
      </c>
      <c r="P31" s="9">
        <v>521</v>
      </c>
      <c r="Q31" s="9">
        <v>86.83</v>
      </c>
      <c r="R31" s="9">
        <v>7</v>
      </c>
      <c r="S31" s="9" t="s">
        <v>20</v>
      </c>
      <c r="T31" s="9"/>
    </row>
    <row r="32" spans="1:20" x14ac:dyDescent="0.25">
      <c r="A32" s="17">
        <v>16</v>
      </c>
      <c r="B32" s="9" t="s">
        <v>357</v>
      </c>
      <c r="C32" s="9">
        <v>12</v>
      </c>
      <c r="D32" s="9" t="s">
        <v>43</v>
      </c>
      <c r="E32" s="9" t="s">
        <v>558</v>
      </c>
      <c r="F32" s="9"/>
      <c r="G32" s="9" t="s">
        <v>16</v>
      </c>
      <c r="H32" s="9">
        <v>72</v>
      </c>
      <c r="I32" s="9">
        <v>58</v>
      </c>
      <c r="J32" s="9">
        <v>44</v>
      </c>
      <c r="K32" s="9">
        <v>39</v>
      </c>
      <c r="L32" s="9">
        <v>64.66</v>
      </c>
      <c r="M32" s="9">
        <v>37</v>
      </c>
      <c r="N32" s="9" t="s">
        <v>19</v>
      </c>
      <c r="O32" s="9" t="s">
        <v>21</v>
      </c>
      <c r="P32" s="9">
        <v>314.66000000000003</v>
      </c>
      <c r="Q32" s="9">
        <v>52.44</v>
      </c>
      <c r="R32" s="9">
        <v>18</v>
      </c>
      <c r="S32" s="9" t="s">
        <v>19</v>
      </c>
      <c r="T32" s="9"/>
    </row>
    <row r="33" spans="1:20" x14ac:dyDescent="0.25">
      <c r="A33" s="17"/>
      <c r="B33" s="9"/>
      <c r="C33" s="9"/>
      <c r="D33" s="9"/>
      <c r="E33" s="9"/>
      <c r="F33" s="9"/>
      <c r="G33" s="9" t="s">
        <v>17</v>
      </c>
      <c r="H33" s="9">
        <v>61</v>
      </c>
      <c r="I33" s="9">
        <v>60</v>
      </c>
      <c r="J33" s="9">
        <v>36</v>
      </c>
      <c r="K33" s="9">
        <v>39</v>
      </c>
      <c r="L33" s="9">
        <v>35</v>
      </c>
      <c r="M33" s="9">
        <v>33</v>
      </c>
      <c r="N33" s="9" t="s">
        <v>19</v>
      </c>
      <c r="O33" s="9" t="s">
        <v>126</v>
      </c>
      <c r="P33" s="9">
        <v>264</v>
      </c>
      <c r="Q33" s="9">
        <v>44</v>
      </c>
      <c r="R33" s="9">
        <v>20</v>
      </c>
      <c r="S33" s="9" t="s">
        <v>19</v>
      </c>
      <c r="T33" s="9"/>
    </row>
    <row r="34" spans="1:20" x14ac:dyDescent="0.25">
      <c r="A34" s="17">
        <v>17</v>
      </c>
      <c r="B34" s="9" t="s">
        <v>356</v>
      </c>
      <c r="C34" s="9">
        <v>10</v>
      </c>
      <c r="D34" s="9" t="s">
        <v>42</v>
      </c>
      <c r="E34" s="9" t="s">
        <v>559</v>
      </c>
      <c r="F34" s="9"/>
      <c r="G34" s="9" t="s">
        <v>16</v>
      </c>
      <c r="H34" s="9">
        <v>99</v>
      </c>
      <c r="I34" s="9">
        <v>99</v>
      </c>
      <c r="J34" s="9">
        <v>95.5</v>
      </c>
      <c r="K34" s="9">
        <v>94</v>
      </c>
      <c r="L34" s="9">
        <v>96.6</v>
      </c>
      <c r="M34" s="9">
        <v>86</v>
      </c>
      <c r="N34" s="9" t="s">
        <v>20</v>
      </c>
      <c r="O34" s="9" t="s">
        <v>23</v>
      </c>
      <c r="P34" s="9">
        <v>570.1</v>
      </c>
      <c r="Q34" s="9">
        <v>95.016000000000005</v>
      </c>
      <c r="R34" s="9">
        <v>2</v>
      </c>
      <c r="S34" s="9" t="s">
        <v>20</v>
      </c>
      <c r="T34" s="9"/>
    </row>
    <row r="35" spans="1:20" x14ac:dyDescent="0.25">
      <c r="A35" s="17"/>
      <c r="B35" s="9"/>
      <c r="C35" s="9"/>
      <c r="D35" s="9"/>
      <c r="E35" s="9"/>
      <c r="F35" s="9"/>
      <c r="G35" s="9" t="s">
        <v>17</v>
      </c>
      <c r="H35" s="9">
        <v>100</v>
      </c>
      <c r="I35" s="9">
        <v>100</v>
      </c>
      <c r="J35" s="9">
        <v>91</v>
      </c>
      <c r="K35" s="9">
        <v>100</v>
      </c>
      <c r="L35" s="9">
        <v>90</v>
      </c>
      <c r="M35" s="9">
        <v>92</v>
      </c>
      <c r="N35" s="9" t="s">
        <v>20</v>
      </c>
      <c r="O35" s="9" t="s">
        <v>23</v>
      </c>
      <c r="P35" s="9">
        <v>573</v>
      </c>
      <c r="Q35" s="9">
        <v>95.5</v>
      </c>
      <c r="R35" s="9">
        <v>3</v>
      </c>
      <c r="S35" s="9" t="s">
        <v>20</v>
      </c>
      <c r="T35" s="9"/>
    </row>
    <row r="36" spans="1:20" x14ac:dyDescent="0.25">
      <c r="A36" s="17">
        <v>18</v>
      </c>
      <c r="B36" s="9" t="s">
        <v>355</v>
      </c>
      <c r="C36" s="9">
        <v>10</v>
      </c>
      <c r="D36" s="9" t="s">
        <v>42</v>
      </c>
      <c r="E36" s="9" t="s">
        <v>560</v>
      </c>
      <c r="F36" s="9"/>
      <c r="G36" s="9" t="s">
        <v>16</v>
      </c>
      <c r="H36" s="9">
        <v>100</v>
      </c>
      <c r="I36" s="9">
        <v>82</v>
      </c>
      <c r="J36" s="9">
        <v>73.099999999999994</v>
      </c>
      <c r="K36" s="9">
        <v>73</v>
      </c>
      <c r="L36" s="9">
        <v>74.900000000000006</v>
      </c>
      <c r="M36" s="9">
        <v>76</v>
      </c>
      <c r="N36" s="9" t="s">
        <v>20</v>
      </c>
      <c r="O36" s="9" t="s">
        <v>19</v>
      </c>
      <c r="P36" s="9">
        <v>479</v>
      </c>
      <c r="Q36" s="9">
        <v>79.83</v>
      </c>
      <c r="R36" s="9">
        <v>12</v>
      </c>
      <c r="S36" s="9" t="s">
        <v>20</v>
      </c>
      <c r="T36" s="9"/>
    </row>
    <row r="37" spans="1:20" x14ac:dyDescent="0.25">
      <c r="A37" s="17"/>
      <c r="B37" s="9"/>
      <c r="C37" s="9"/>
      <c r="D37" s="9"/>
      <c r="E37" s="9"/>
      <c r="F37" s="9"/>
      <c r="G37" s="9" t="s">
        <v>17</v>
      </c>
      <c r="H37" s="9">
        <v>96</v>
      </c>
      <c r="I37" s="9">
        <v>87</v>
      </c>
      <c r="J37" s="9">
        <v>72</v>
      </c>
      <c r="K37" s="9">
        <v>85</v>
      </c>
      <c r="L37" s="9">
        <v>80</v>
      </c>
      <c r="M37" s="9">
        <v>86</v>
      </c>
      <c r="N37" s="9" t="s">
        <v>20</v>
      </c>
      <c r="O37" s="9" t="s">
        <v>23</v>
      </c>
      <c r="P37" s="9">
        <v>506</v>
      </c>
      <c r="Q37" s="9">
        <v>84.3</v>
      </c>
      <c r="R37" s="9">
        <v>9</v>
      </c>
      <c r="S37" s="9" t="s">
        <v>20</v>
      </c>
      <c r="T37" s="9"/>
    </row>
    <row r="38" spans="1:20" x14ac:dyDescent="0.25">
      <c r="A38" s="16">
        <v>19</v>
      </c>
      <c r="B38" s="15" t="s">
        <v>354</v>
      </c>
      <c r="C38" s="15">
        <v>10</v>
      </c>
      <c r="D38" s="15" t="s">
        <v>351</v>
      </c>
      <c r="E38" s="12" t="s">
        <v>716</v>
      </c>
      <c r="F38" s="15"/>
      <c r="G38" s="9" t="s">
        <v>16</v>
      </c>
      <c r="H38" s="9">
        <v>98</v>
      </c>
      <c r="I38" s="9">
        <v>100</v>
      </c>
      <c r="J38" s="9">
        <v>100</v>
      </c>
      <c r="K38" s="9">
        <v>92</v>
      </c>
      <c r="L38" s="9">
        <v>98.7</v>
      </c>
      <c r="M38" s="9">
        <v>95</v>
      </c>
      <c r="N38" s="9" t="s">
        <v>20</v>
      </c>
      <c r="O38" s="9" t="s">
        <v>353</v>
      </c>
      <c r="P38" s="9">
        <v>583.70000000000005</v>
      </c>
      <c r="Q38" s="9">
        <v>97.28</v>
      </c>
      <c r="R38" s="9">
        <v>11</v>
      </c>
      <c r="S38" s="9" t="s">
        <v>20</v>
      </c>
      <c r="T38" s="15"/>
    </row>
    <row r="39" spans="1:20" x14ac:dyDescent="0.25">
      <c r="A39" s="17"/>
      <c r="B39" s="9"/>
      <c r="C39" s="9"/>
      <c r="D39" s="9"/>
      <c r="E39" s="9"/>
      <c r="F39" s="9"/>
      <c r="G39" s="9" t="s">
        <v>17</v>
      </c>
      <c r="H39" s="9">
        <v>95</v>
      </c>
      <c r="I39" s="9">
        <v>100</v>
      </c>
      <c r="J39" s="9">
        <v>98</v>
      </c>
      <c r="K39" s="9">
        <v>96</v>
      </c>
      <c r="L39" s="9">
        <v>97</v>
      </c>
      <c r="M39" s="9">
        <v>91</v>
      </c>
      <c r="N39" s="9" t="s">
        <v>20</v>
      </c>
      <c r="O39" s="9" t="s">
        <v>20</v>
      </c>
      <c r="P39" s="9">
        <v>577</v>
      </c>
      <c r="Q39" s="9">
        <v>96.16</v>
      </c>
      <c r="R39" s="9">
        <v>2</v>
      </c>
      <c r="S39" s="9" t="s">
        <v>20</v>
      </c>
      <c r="T39" s="9"/>
    </row>
    <row r="40" spans="1:20" x14ac:dyDescent="0.25">
      <c r="A40" s="16">
        <v>20</v>
      </c>
      <c r="B40" s="15" t="s">
        <v>352</v>
      </c>
      <c r="C40" s="15">
        <v>10</v>
      </c>
      <c r="D40" s="15" t="s">
        <v>351</v>
      </c>
      <c r="E40" s="9" t="s">
        <v>561</v>
      </c>
      <c r="F40" s="15"/>
      <c r="G40" s="9" t="s">
        <v>16</v>
      </c>
      <c r="H40" s="9">
        <v>91</v>
      </c>
      <c r="I40" s="9">
        <v>61</v>
      </c>
      <c r="J40" s="9">
        <v>64</v>
      </c>
      <c r="K40" s="9">
        <v>66</v>
      </c>
      <c r="L40" s="9">
        <v>85.75</v>
      </c>
      <c r="M40" s="9">
        <v>37</v>
      </c>
      <c r="N40" s="9" t="s">
        <v>20</v>
      </c>
      <c r="O40" s="9" t="s">
        <v>126</v>
      </c>
      <c r="P40" s="9">
        <v>404.76</v>
      </c>
      <c r="Q40" s="9">
        <v>67.459999999999994</v>
      </c>
      <c r="R40" s="9">
        <v>16</v>
      </c>
      <c r="S40" s="15" t="s">
        <v>19</v>
      </c>
      <c r="T40" s="15"/>
    </row>
    <row r="41" spans="1:20" x14ac:dyDescent="0.25">
      <c r="A41" s="17"/>
      <c r="B41" s="9"/>
      <c r="C41" s="9"/>
      <c r="D41" s="9"/>
      <c r="E41" s="9"/>
      <c r="F41" s="9"/>
      <c r="G41" s="9" t="s">
        <v>17</v>
      </c>
      <c r="H41" s="9">
        <v>55</v>
      </c>
      <c r="I41" s="9">
        <v>74</v>
      </c>
      <c r="J41" s="9">
        <v>70</v>
      </c>
      <c r="K41" s="9">
        <v>76</v>
      </c>
      <c r="L41" s="9">
        <v>79</v>
      </c>
      <c r="M41" s="9">
        <v>68</v>
      </c>
      <c r="N41" s="9" t="s">
        <v>19</v>
      </c>
      <c r="O41" s="9" t="s">
        <v>21</v>
      </c>
      <c r="P41" s="9">
        <v>422</v>
      </c>
      <c r="Q41" s="9">
        <v>70.3</v>
      </c>
      <c r="R41" s="9">
        <v>14</v>
      </c>
      <c r="S41" s="9" t="s">
        <v>20</v>
      </c>
      <c r="T41" s="9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C00000"/>
  </sheetPr>
  <dimension ref="A1:U43"/>
  <sheetViews>
    <sheetView topLeftCell="C18" zoomScale="85" zoomScaleNormal="85" zoomScalePageLayoutView="85" workbookViewId="0">
      <selection activeCell="S42" sqref="S42"/>
    </sheetView>
  </sheetViews>
  <sheetFormatPr defaultColWidth="11.125" defaultRowHeight="15.75" x14ac:dyDescent="0.25"/>
  <cols>
    <col min="1" max="1" width="7.5" customWidth="1"/>
    <col min="2" max="2" width="25.625" customWidth="1"/>
    <col min="3" max="3" width="8.625" bestFit="1" customWidth="1"/>
    <col min="4" max="4" width="8.5" customWidth="1"/>
    <col min="5" max="5" width="10.75" bestFit="1" customWidth="1"/>
    <col min="6" max="6" width="8.5" customWidth="1"/>
  </cols>
  <sheetData>
    <row r="1" spans="1:21" ht="132.75" x14ac:dyDescent="0.25">
      <c r="A1" s="5" t="s">
        <v>0</v>
      </c>
      <c r="B1" s="6" t="s">
        <v>382</v>
      </c>
      <c r="C1" s="6" t="s">
        <v>3</v>
      </c>
      <c r="D1" s="6" t="s">
        <v>2</v>
      </c>
      <c r="E1" s="6" t="s">
        <v>383</v>
      </c>
      <c r="F1" s="6" t="s">
        <v>384</v>
      </c>
      <c r="G1" s="6" t="s">
        <v>385</v>
      </c>
      <c r="H1" s="6" t="s">
        <v>5</v>
      </c>
      <c r="I1" s="6" t="s">
        <v>6</v>
      </c>
      <c r="J1" s="6" t="s">
        <v>7</v>
      </c>
      <c r="K1" s="6" t="s">
        <v>736</v>
      </c>
      <c r="L1" s="6" t="s">
        <v>8</v>
      </c>
      <c r="M1" s="6" t="s">
        <v>167</v>
      </c>
      <c r="N1" s="52" t="s">
        <v>735</v>
      </c>
      <c r="O1" s="6" t="s">
        <v>9</v>
      </c>
      <c r="P1" s="6" t="s">
        <v>10</v>
      </c>
      <c r="Q1" s="6" t="s">
        <v>11</v>
      </c>
      <c r="R1" s="6" t="s">
        <v>12</v>
      </c>
      <c r="S1" s="6" t="s">
        <v>13</v>
      </c>
      <c r="T1" s="6" t="s">
        <v>14</v>
      </c>
      <c r="U1" s="7"/>
    </row>
    <row r="2" spans="1:21" x14ac:dyDescent="0.25">
      <c r="A2" s="1">
        <v>1</v>
      </c>
      <c r="B2" s="2" t="s">
        <v>186</v>
      </c>
      <c r="C2" s="2"/>
      <c r="D2" s="2" t="s">
        <v>43</v>
      </c>
      <c r="E2" s="12" t="s">
        <v>717</v>
      </c>
      <c r="F2" s="2"/>
      <c r="G2" s="2" t="s">
        <v>16</v>
      </c>
      <c r="H2" s="2">
        <v>76</v>
      </c>
      <c r="I2" s="2">
        <v>48</v>
      </c>
      <c r="J2" s="2">
        <v>41</v>
      </c>
      <c r="K2" s="2">
        <v>50</v>
      </c>
      <c r="L2" s="2">
        <v>61</v>
      </c>
      <c r="M2" s="2">
        <v>41</v>
      </c>
      <c r="N2" s="2"/>
      <c r="O2" s="2"/>
      <c r="P2" s="2">
        <v>317</v>
      </c>
      <c r="Q2" s="2">
        <v>52.83</v>
      </c>
      <c r="R2" s="2">
        <v>20</v>
      </c>
      <c r="S2" s="2" t="s">
        <v>20</v>
      </c>
      <c r="T2" s="2"/>
    </row>
    <row r="3" spans="1:21" x14ac:dyDescent="0.25">
      <c r="A3" s="1"/>
      <c r="B3" s="2"/>
      <c r="C3" s="2"/>
      <c r="D3" s="2"/>
      <c r="E3" s="2"/>
      <c r="F3" s="2"/>
      <c r="G3" s="2" t="s">
        <v>17</v>
      </c>
      <c r="H3" s="2">
        <v>63</v>
      </c>
      <c r="I3" s="2">
        <v>44</v>
      </c>
      <c r="J3" s="2">
        <v>56</v>
      </c>
      <c r="K3" s="2">
        <v>48</v>
      </c>
      <c r="L3" s="2">
        <v>78</v>
      </c>
      <c r="M3" s="2">
        <v>95</v>
      </c>
      <c r="N3" s="2" t="s">
        <v>21</v>
      </c>
      <c r="O3" s="2"/>
      <c r="P3" s="2">
        <v>324</v>
      </c>
      <c r="Q3" s="2">
        <v>54</v>
      </c>
      <c r="R3" s="2"/>
      <c r="S3" s="2"/>
      <c r="T3" s="2"/>
    </row>
    <row r="4" spans="1:21" x14ac:dyDescent="0.25">
      <c r="A4" s="1">
        <v>2</v>
      </c>
      <c r="B4" s="9" t="s">
        <v>187</v>
      </c>
      <c r="C4" s="9"/>
      <c r="D4" s="2" t="s">
        <v>43</v>
      </c>
      <c r="E4" s="2" t="s">
        <v>562</v>
      </c>
      <c r="F4" s="2"/>
      <c r="G4" s="2" t="s">
        <v>16</v>
      </c>
      <c r="H4" s="2">
        <v>99</v>
      </c>
      <c r="I4" s="2">
        <v>87</v>
      </c>
      <c r="J4" s="2">
        <v>82</v>
      </c>
      <c r="K4" s="2">
        <v>80</v>
      </c>
      <c r="L4" s="2">
        <v>97</v>
      </c>
      <c r="M4" s="2">
        <v>95</v>
      </c>
      <c r="N4" s="2"/>
      <c r="O4" s="2"/>
      <c r="P4" s="2">
        <v>540</v>
      </c>
      <c r="Q4" s="2">
        <v>90</v>
      </c>
      <c r="R4" s="2">
        <v>6</v>
      </c>
      <c r="S4" s="2" t="s">
        <v>20</v>
      </c>
      <c r="T4" s="2"/>
    </row>
    <row r="5" spans="1:21" x14ac:dyDescent="0.25">
      <c r="A5" s="1"/>
      <c r="B5" s="2"/>
      <c r="C5" s="2"/>
      <c r="D5" s="2"/>
      <c r="E5" s="2"/>
      <c r="F5" s="2"/>
      <c r="G5" s="2" t="s">
        <v>17</v>
      </c>
      <c r="H5" s="2">
        <v>95</v>
      </c>
      <c r="I5" s="2">
        <v>83</v>
      </c>
      <c r="J5" s="2">
        <v>85</v>
      </c>
      <c r="K5" s="2">
        <v>97</v>
      </c>
      <c r="L5" s="2">
        <v>96</v>
      </c>
      <c r="M5" s="2">
        <v>96</v>
      </c>
      <c r="N5" s="2" t="s">
        <v>20</v>
      </c>
      <c r="O5" s="2"/>
      <c r="P5" s="2">
        <v>552</v>
      </c>
      <c r="Q5" s="2">
        <v>92</v>
      </c>
      <c r="R5" s="2"/>
      <c r="S5" s="2"/>
      <c r="T5" s="2"/>
    </row>
    <row r="6" spans="1:21" x14ac:dyDescent="0.25">
      <c r="A6" s="1">
        <v>3</v>
      </c>
      <c r="B6" s="2" t="s">
        <v>188</v>
      </c>
      <c r="C6" s="2"/>
      <c r="D6" s="2" t="s">
        <v>42</v>
      </c>
      <c r="E6" s="2" t="s">
        <v>563</v>
      </c>
      <c r="F6" s="2"/>
      <c r="G6" s="2" t="s">
        <v>16</v>
      </c>
      <c r="H6" s="2">
        <v>85</v>
      </c>
      <c r="I6" s="2">
        <v>74</v>
      </c>
      <c r="J6" s="2">
        <v>82</v>
      </c>
      <c r="K6" s="2">
        <v>80</v>
      </c>
      <c r="L6" s="2">
        <v>87</v>
      </c>
      <c r="M6" s="2">
        <v>88</v>
      </c>
      <c r="N6" s="2"/>
      <c r="O6" s="2"/>
      <c r="P6" s="2">
        <v>496</v>
      </c>
      <c r="Q6" s="2">
        <v>82.66</v>
      </c>
      <c r="R6" s="2">
        <v>9</v>
      </c>
      <c r="S6" s="2" t="s">
        <v>20</v>
      </c>
      <c r="T6" s="2"/>
    </row>
    <row r="7" spans="1:21" x14ac:dyDescent="0.25">
      <c r="A7" s="1"/>
      <c r="B7" s="2"/>
      <c r="C7" s="2"/>
      <c r="D7" s="2"/>
      <c r="E7" s="2"/>
      <c r="F7" s="2"/>
      <c r="G7" s="2" t="s">
        <v>17</v>
      </c>
      <c r="H7" s="2">
        <v>91</v>
      </c>
      <c r="I7" s="2">
        <v>69</v>
      </c>
      <c r="J7" s="2">
        <v>79</v>
      </c>
      <c r="K7" s="2">
        <v>70</v>
      </c>
      <c r="L7" s="2">
        <v>96</v>
      </c>
      <c r="M7" s="2">
        <v>83</v>
      </c>
      <c r="N7" s="2" t="s">
        <v>19</v>
      </c>
      <c r="O7" s="2"/>
      <c r="P7" s="2">
        <v>488</v>
      </c>
      <c r="Q7" s="2">
        <v>81.33</v>
      </c>
      <c r="R7" s="2"/>
      <c r="S7" s="2"/>
      <c r="T7" s="2"/>
    </row>
    <row r="8" spans="1:21" x14ac:dyDescent="0.25">
      <c r="A8" s="1">
        <v>4</v>
      </c>
      <c r="B8" s="2" t="s">
        <v>189</v>
      </c>
      <c r="C8" s="2"/>
      <c r="D8" s="2"/>
      <c r="E8" s="2" t="s">
        <v>564</v>
      </c>
      <c r="F8" s="2"/>
      <c r="G8" s="2" t="s">
        <v>16</v>
      </c>
      <c r="H8" s="2">
        <v>87</v>
      </c>
      <c r="I8" s="2">
        <v>63</v>
      </c>
      <c r="J8" s="2">
        <v>75</v>
      </c>
      <c r="K8" s="2">
        <v>80</v>
      </c>
      <c r="L8" s="2">
        <v>91</v>
      </c>
      <c r="M8" s="2">
        <v>86</v>
      </c>
      <c r="N8" s="2"/>
      <c r="O8" s="2"/>
      <c r="P8" s="2">
        <v>482</v>
      </c>
      <c r="Q8" s="2">
        <v>80.33</v>
      </c>
      <c r="R8" s="2">
        <v>12</v>
      </c>
      <c r="S8" s="2" t="s">
        <v>92</v>
      </c>
      <c r="T8" s="2"/>
    </row>
    <row r="9" spans="1:21" x14ac:dyDescent="0.25">
      <c r="A9" s="1"/>
      <c r="B9" s="2"/>
      <c r="C9" s="2"/>
      <c r="D9" s="2"/>
      <c r="E9" s="2"/>
      <c r="F9" s="2"/>
      <c r="G9" s="2" t="s">
        <v>17</v>
      </c>
      <c r="H9" s="2">
        <v>73</v>
      </c>
      <c r="I9" s="2">
        <v>75</v>
      </c>
      <c r="J9" s="2">
        <v>69</v>
      </c>
      <c r="K9" s="2">
        <v>78</v>
      </c>
      <c r="L9" s="2">
        <v>94</v>
      </c>
      <c r="M9" s="2">
        <v>88</v>
      </c>
      <c r="N9" s="2" t="s">
        <v>20</v>
      </c>
      <c r="O9" s="2"/>
      <c r="P9" s="2">
        <v>477</v>
      </c>
      <c r="Q9" s="2">
        <v>79.5</v>
      </c>
      <c r="R9" s="2"/>
      <c r="S9" s="2"/>
      <c r="T9" s="2"/>
    </row>
    <row r="10" spans="1:21" x14ac:dyDescent="0.25">
      <c r="A10" s="1">
        <v>5</v>
      </c>
      <c r="B10" s="2" t="s">
        <v>190</v>
      </c>
      <c r="C10" s="2"/>
      <c r="D10" s="2" t="s">
        <v>43</v>
      </c>
      <c r="E10" s="2" t="s">
        <v>565</v>
      </c>
      <c r="F10" s="2"/>
      <c r="G10" s="2" t="s">
        <v>16</v>
      </c>
      <c r="H10" s="2">
        <v>89</v>
      </c>
      <c r="I10" s="2">
        <v>79</v>
      </c>
      <c r="J10" s="2">
        <v>89</v>
      </c>
      <c r="K10" s="2">
        <v>87</v>
      </c>
      <c r="L10" s="2">
        <v>93</v>
      </c>
      <c r="M10" s="2">
        <v>84</v>
      </c>
      <c r="N10" s="2"/>
      <c r="O10" s="2"/>
      <c r="P10" s="2">
        <v>521</v>
      </c>
      <c r="Q10" s="2">
        <v>86.83</v>
      </c>
      <c r="R10" s="2">
        <v>8</v>
      </c>
      <c r="S10" s="2" t="s">
        <v>92</v>
      </c>
      <c r="T10" s="2"/>
    </row>
    <row r="11" spans="1:21" x14ac:dyDescent="0.25">
      <c r="A11" s="1"/>
      <c r="B11" s="2"/>
      <c r="C11" s="2"/>
      <c r="D11" s="2"/>
      <c r="E11" s="2"/>
      <c r="F11" s="2"/>
      <c r="G11" s="2" t="s">
        <v>17</v>
      </c>
      <c r="H11" s="2">
        <v>84</v>
      </c>
      <c r="I11" s="2">
        <v>73</v>
      </c>
      <c r="J11" s="2">
        <v>94</v>
      </c>
      <c r="K11" s="2">
        <v>89</v>
      </c>
      <c r="L11" s="2">
        <v>97</v>
      </c>
      <c r="M11" s="2">
        <v>88</v>
      </c>
      <c r="N11" s="2" t="s">
        <v>20</v>
      </c>
      <c r="O11" s="2"/>
      <c r="P11" s="2">
        <v>525</v>
      </c>
      <c r="Q11" s="2">
        <v>87.5</v>
      </c>
      <c r="R11" s="2"/>
      <c r="S11" s="2"/>
      <c r="T11" s="2"/>
    </row>
    <row r="12" spans="1:21" x14ac:dyDescent="0.25">
      <c r="A12" s="1">
        <v>6</v>
      </c>
      <c r="B12" s="9" t="s">
        <v>191</v>
      </c>
      <c r="C12" s="9"/>
      <c r="D12" s="2" t="s">
        <v>43</v>
      </c>
      <c r="E12" s="12" t="s">
        <v>718</v>
      </c>
      <c r="F12" s="2"/>
      <c r="G12" s="2" t="s">
        <v>16</v>
      </c>
      <c r="H12" s="2">
        <v>68</v>
      </c>
      <c r="I12" s="2">
        <v>57</v>
      </c>
      <c r="J12" s="2">
        <v>72</v>
      </c>
      <c r="K12" s="2">
        <v>77</v>
      </c>
      <c r="L12" s="2">
        <v>87</v>
      </c>
      <c r="M12" s="2">
        <v>91</v>
      </c>
      <c r="N12" s="2"/>
      <c r="O12" s="2"/>
      <c r="P12" s="2">
        <v>452</v>
      </c>
      <c r="Q12" s="2">
        <v>75.33</v>
      </c>
      <c r="R12" s="2">
        <v>14</v>
      </c>
      <c r="S12" s="2" t="s">
        <v>20</v>
      </c>
      <c r="T12" s="2"/>
    </row>
    <row r="13" spans="1:21" x14ac:dyDescent="0.25">
      <c r="A13" s="1"/>
      <c r="B13" s="2"/>
      <c r="C13" s="2"/>
      <c r="D13" s="2"/>
      <c r="E13" s="2"/>
      <c r="F13" s="2"/>
      <c r="G13" s="2" t="s">
        <v>17</v>
      </c>
      <c r="H13" s="2">
        <v>93</v>
      </c>
      <c r="I13" s="2">
        <v>61</v>
      </c>
      <c r="J13" s="2">
        <v>67</v>
      </c>
      <c r="K13" s="2">
        <v>83</v>
      </c>
      <c r="L13" s="2">
        <v>90</v>
      </c>
      <c r="M13" s="2">
        <v>79</v>
      </c>
      <c r="N13" s="2" t="s">
        <v>19</v>
      </c>
      <c r="O13" s="2"/>
      <c r="P13" s="2">
        <v>473</v>
      </c>
      <c r="Q13" s="2">
        <v>78.83</v>
      </c>
      <c r="R13" s="2"/>
      <c r="S13" s="2"/>
      <c r="T13" s="2"/>
    </row>
    <row r="14" spans="1:21" x14ac:dyDescent="0.25">
      <c r="A14" s="1">
        <v>7</v>
      </c>
      <c r="B14" s="2" t="s">
        <v>192</v>
      </c>
      <c r="C14" s="2"/>
      <c r="D14" s="2" t="s">
        <v>42</v>
      </c>
      <c r="E14" s="12" t="s">
        <v>719</v>
      </c>
      <c r="F14" s="2"/>
      <c r="G14" s="2" t="s">
        <v>16</v>
      </c>
      <c r="H14" s="2">
        <v>93</v>
      </c>
      <c r="I14" s="2">
        <v>80</v>
      </c>
      <c r="J14" s="2">
        <v>90</v>
      </c>
      <c r="K14" s="2">
        <v>89</v>
      </c>
      <c r="L14" s="2">
        <v>95</v>
      </c>
      <c r="M14" s="2">
        <v>94</v>
      </c>
      <c r="N14" s="2"/>
      <c r="O14" s="2"/>
      <c r="P14" s="2">
        <v>531</v>
      </c>
      <c r="Q14" s="2">
        <v>88.5</v>
      </c>
      <c r="R14" s="2">
        <v>5</v>
      </c>
      <c r="S14" s="2" t="s">
        <v>20</v>
      </c>
      <c r="T14" s="2"/>
    </row>
    <row r="15" spans="1:21" x14ac:dyDescent="0.25">
      <c r="A15" s="1"/>
      <c r="B15" s="2"/>
      <c r="C15" s="2"/>
      <c r="D15" s="2"/>
      <c r="E15" s="2"/>
      <c r="F15" s="2"/>
      <c r="G15" s="2" t="s">
        <v>17</v>
      </c>
      <c r="H15" s="2">
        <v>93</v>
      </c>
      <c r="I15" s="2">
        <v>73</v>
      </c>
      <c r="J15" s="2">
        <v>84</v>
      </c>
      <c r="K15" s="2">
        <v>84</v>
      </c>
      <c r="L15" s="2">
        <v>91</v>
      </c>
      <c r="M15" s="2">
        <v>93</v>
      </c>
      <c r="N15" s="2" t="s">
        <v>19</v>
      </c>
      <c r="O15" s="2"/>
      <c r="P15" s="2">
        <v>518</v>
      </c>
      <c r="Q15" s="2">
        <v>86.33</v>
      </c>
      <c r="R15" s="2"/>
      <c r="S15" s="2"/>
      <c r="T15" s="2"/>
    </row>
    <row r="16" spans="1:21" s="14" customFormat="1" ht="15.75" customHeight="1" x14ac:dyDescent="0.25">
      <c r="A16" s="17">
        <v>8</v>
      </c>
      <c r="B16" s="9" t="s">
        <v>373</v>
      </c>
      <c r="C16" s="9"/>
      <c r="D16" s="9" t="s">
        <v>42</v>
      </c>
      <c r="E16" s="9" t="s">
        <v>566</v>
      </c>
      <c r="F16" s="9"/>
      <c r="G16" s="9" t="s">
        <v>16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s="14" customFormat="1" x14ac:dyDescent="0.25">
      <c r="A17" s="17"/>
      <c r="B17" s="9"/>
      <c r="C17" s="9"/>
      <c r="D17" s="9"/>
      <c r="E17" s="9"/>
      <c r="F17" s="9"/>
      <c r="G17" s="9" t="s">
        <v>17</v>
      </c>
      <c r="H17" s="9">
        <v>79</v>
      </c>
      <c r="I17" s="9">
        <v>74</v>
      </c>
      <c r="J17" s="9">
        <v>62</v>
      </c>
      <c r="K17" s="9">
        <v>69</v>
      </c>
      <c r="L17" s="9">
        <v>81</v>
      </c>
      <c r="M17" s="9">
        <v>77</v>
      </c>
      <c r="N17" s="9" t="s">
        <v>21</v>
      </c>
      <c r="O17" s="9"/>
      <c r="P17" s="9">
        <v>442</v>
      </c>
      <c r="Q17" s="9">
        <v>73.67</v>
      </c>
      <c r="R17" s="9">
        <v>16</v>
      </c>
      <c r="S17" s="9"/>
      <c r="T17" s="9"/>
    </row>
    <row r="18" spans="1:20" x14ac:dyDescent="0.25">
      <c r="A18" s="1">
        <v>9</v>
      </c>
      <c r="B18" s="9" t="s">
        <v>193</v>
      </c>
      <c r="C18" s="9"/>
      <c r="D18" s="2" t="s">
        <v>42</v>
      </c>
      <c r="E18" s="2" t="s">
        <v>567</v>
      </c>
      <c r="F18" s="2"/>
      <c r="G18" s="2" t="s">
        <v>16</v>
      </c>
      <c r="H18" s="2">
        <v>83</v>
      </c>
      <c r="I18" s="2">
        <v>67</v>
      </c>
      <c r="J18" s="2">
        <v>56</v>
      </c>
      <c r="K18" s="2">
        <v>75</v>
      </c>
      <c r="L18" s="2">
        <v>82</v>
      </c>
      <c r="M18" s="2">
        <v>79</v>
      </c>
      <c r="N18" s="2"/>
      <c r="O18" s="2"/>
      <c r="P18" s="2">
        <v>442</v>
      </c>
      <c r="Q18" s="2">
        <v>73.66</v>
      </c>
      <c r="R18" s="2">
        <v>15</v>
      </c>
      <c r="S18" s="2" t="s">
        <v>20</v>
      </c>
      <c r="T18" s="2"/>
    </row>
    <row r="19" spans="1:20" x14ac:dyDescent="0.25">
      <c r="A19" s="1"/>
      <c r="B19" s="2"/>
      <c r="C19" s="2"/>
      <c r="D19" s="2"/>
      <c r="E19" s="2"/>
      <c r="F19" s="2"/>
      <c r="G19" s="2" t="s">
        <v>17</v>
      </c>
      <c r="H19" s="2">
        <v>85</v>
      </c>
      <c r="I19" s="2">
        <v>69</v>
      </c>
      <c r="J19" s="2">
        <v>67</v>
      </c>
      <c r="K19" s="2">
        <v>81</v>
      </c>
      <c r="L19" s="2">
        <v>83</v>
      </c>
      <c r="M19" s="2">
        <v>77</v>
      </c>
      <c r="N19" s="2" t="s">
        <v>20</v>
      </c>
      <c r="O19" s="2"/>
      <c r="P19" s="2">
        <v>462</v>
      </c>
      <c r="Q19" s="2">
        <v>77</v>
      </c>
      <c r="R19" s="2"/>
      <c r="S19" s="2"/>
      <c r="T19" s="2"/>
    </row>
    <row r="20" spans="1:20" x14ac:dyDescent="0.25">
      <c r="A20" s="1">
        <v>10</v>
      </c>
      <c r="B20" s="2" t="s">
        <v>194</v>
      </c>
      <c r="C20" s="2"/>
      <c r="D20" s="2" t="s">
        <v>42</v>
      </c>
      <c r="E20" s="12" t="s">
        <v>720</v>
      </c>
      <c r="F20" s="2"/>
      <c r="G20" s="2" t="s">
        <v>16</v>
      </c>
      <c r="H20" s="2">
        <v>97</v>
      </c>
      <c r="I20" s="2">
        <v>88</v>
      </c>
      <c r="J20" s="2">
        <v>92</v>
      </c>
      <c r="K20" s="2">
        <v>89</v>
      </c>
      <c r="L20" s="2">
        <v>95</v>
      </c>
      <c r="M20" s="2">
        <v>87</v>
      </c>
      <c r="N20" s="2"/>
      <c r="O20" s="2"/>
      <c r="P20" s="2">
        <v>548</v>
      </c>
      <c r="Q20" s="2">
        <v>91.33</v>
      </c>
      <c r="R20" s="2">
        <v>4</v>
      </c>
      <c r="S20" s="2" t="s">
        <v>20</v>
      </c>
      <c r="T20" s="2"/>
    </row>
    <row r="21" spans="1:20" x14ac:dyDescent="0.25">
      <c r="A21" s="1"/>
      <c r="B21" s="2"/>
      <c r="C21" s="2"/>
      <c r="D21" s="2"/>
      <c r="E21" s="2"/>
      <c r="F21" s="2"/>
      <c r="G21" s="2" t="s">
        <v>17</v>
      </c>
      <c r="H21" s="2">
        <v>94</v>
      </c>
      <c r="I21" s="2">
        <v>90</v>
      </c>
      <c r="J21" s="2">
        <v>90</v>
      </c>
      <c r="K21" s="2">
        <v>96</v>
      </c>
      <c r="L21" s="2">
        <v>95</v>
      </c>
      <c r="M21" s="2">
        <v>82</v>
      </c>
      <c r="N21" s="2" t="s">
        <v>20</v>
      </c>
      <c r="O21" s="2"/>
      <c r="P21" s="2">
        <v>547</v>
      </c>
      <c r="Q21" s="2">
        <v>91.167000000000002</v>
      </c>
      <c r="R21" s="2"/>
      <c r="S21" s="2"/>
      <c r="T21" s="2"/>
    </row>
    <row r="22" spans="1:20" x14ac:dyDescent="0.25">
      <c r="A22" s="1">
        <v>11</v>
      </c>
      <c r="B22" s="2" t="s">
        <v>195</v>
      </c>
      <c r="C22" s="2"/>
      <c r="D22" s="2" t="s">
        <v>42</v>
      </c>
      <c r="E22" s="2" t="s">
        <v>568</v>
      </c>
      <c r="F22" s="2"/>
      <c r="G22" s="2" t="s">
        <v>16</v>
      </c>
      <c r="H22" s="2">
        <v>91</v>
      </c>
      <c r="I22" s="2">
        <v>93</v>
      </c>
      <c r="J22" s="2">
        <v>95</v>
      </c>
      <c r="K22" s="2">
        <v>95</v>
      </c>
      <c r="L22" s="2">
        <v>97</v>
      </c>
      <c r="M22" s="2">
        <v>98</v>
      </c>
      <c r="N22" s="2"/>
      <c r="O22" s="2"/>
      <c r="P22" s="2">
        <v>569</v>
      </c>
      <c r="Q22" s="2">
        <v>94.83</v>
      </c>
      <c r="R22" s="2">
        <v>2</v>
      </c>
      <c r="S22" s="2" t="s">
        <v>20</v>
      </c>
      <c r="T22" s="2"/>
    </row>
    <row r="23" spans="1:20" x14ac:dyDescent="0.25">
      <c r="A23" s="1"/>
      <c r="B23" s="2"/>
      <c r="C23" s="2"/>
      <c r="D23" s="2"/>
      <c r="E23" s="2"/>
      <c r="F23" s="2"/>
      <c r="G23" s="2" t="s">
        <v>17</v>
      </c>
      <c r="H23" s="2">
        <v>98</v>
      </c>
      <c r="I23" s="2">
        <v>88</v>
      </c>
      <c r="J23" s="2">
        <v>93</v>
      </c>
      <c r="K23" s="2">
        <v>96</v>
      </c>
      <c r="L23" s="2">
        <v>98</v>
      </c>
      <c r="M23" s="2">
        <v>93</v>
      </c>
      <c r="N23" s="2" t="s">
        <v>20</v>
      </c>
      <c r="O23" s="2"/>
      <c r="P23" s="2">
        <v>556</v>
      </c>
      <c r="Q23" s="2">
        <v>94.33</v>
      </c>
      <c r="R23" s="2">
        <v>1</v>
      </c>
      <c r="S23" s="2"/>
      <c r="T23" s="2"/>
    </row>
    <row r="24" spans="1:20" x14ac:dyDescent="0.25">
      <c r="A24" s="1">
        <v>12</v>
      </c>
      <c r="B24" s="2" t="s">
        <v>196</v>
      </c>
      <c r="C24" s="2"/>
      <c r="D24" s="2" t="s">
        <v>42</v>
      </c>
      <c r="E24" s="2" t="s">
        <v>569</v>
      </c>
      <c r="F24" s="2"/>
      <c r="G24" s="2" t="s">
        <v>16</v>
      </c>
      <c r="H24" s="2">
        <v>70</v>
      </c>
      <c r="I24" s="2">
        <v>58</v>
      </c>
      <c r="J24" s="2">
        <v>57</v>
      </c>
      <c r="K24" s="2">
        <v>65</v>
      </c>
      <c r="L24" s="2">
        <v>81</v>
      </c>
      <c r="M24" s="2">
        <v>80</v>
      </c>
      <c r="N24" s="2"/>
      <c r="O24" s="2"/>
      <c r="P24" s="2">
        <v>411</v>
      </c>
      <c r="Q24" s="2">
        <v>68.5</v>
      </c>
      <c r="R24" s="2">
        <v>16</v>
      </c>
      <c r="S24" s="2" t="s">
        <v>92</v>
      </c>
      <c r="T24" s="2"/>
    </row>
    <row r="25" spans="1:20" x14ac:dyDescent="0.25">
      <c r="A25" s="1"/>
      <c r="B25" s="2"/>
      <c r="C25" s="2"/>
      <c r="D25" s="2"/>
      <c r="E25" s="2"/>
      <c r="F25" s="2"/>
      <c r="G25" s="2" t="s">
        <v>17</v>
      </c>
      <c r="H25" s="2">
        <v>80</v>
      </c>
      <c r="I25" s="2">
        <v>58</v>
      </c>
      <c r="J25" s="2">
        <v>54</v>
      </c>
      <c r="K25" s="2">
        <v>66</v>
      </c>
      <c r="L25" s="2">
        <v>79</v>
      </c>
      <c r="M25" s="2">
        <v>88</v>
      </c>
      <c r="N25" s="2" t="s">
        <v>19</v>
      </c>
      <c r="O25" s="2"/>
      <c r="P25" s="2">
        <v>425</v>
      </c>
      <c r="Q25" s="2">
        <v>70.83</v>
      </c>
      <c r="R25" s="2"/>
      <c r="S25" s="2"/>
      <c r="T25" s="2"/>
    </row>
    <row r="26" spans="1:20" x14ac:dyDescent="0.25">
      <c r="A26" s="1">
        <v>13</v>
      </c>
      <c r="B26" s="2" t="s">
        <v>197</v>
      </c>
      <c r="C26" s="2"/>
      <c r="D26" s="2" t="s">
        <v>43</v>
      </c>
      <c r="E26" s="2" t="s">
        <v>570</v>
      </c>
      <c r="F26" s="2"/>
      <c r="G26" s="2" t="s">
        <v>16</v>
      </c>
      <c r="H26" s="2">
        <v>99</v>
      </c>
      <c r="I26" s="2">
        <v>92</v>
      </c>
      <c r="J26" s="2">
        <v>91</v>
      </c>
      <c r="K26" s="2">
        <v>80</v>
      </c>
      <c r="L26" s="2">
        <v>96</v>
      </c>
      <c r="M26" s="2">
        <v>86</v>
      </c>
      <c r="N26" s="2"/>
      <c r="O26" s="2"/>
      <c r="P26" s="2">
        <v>544</v>
      </c>
      <c r="Q26" s="2">
        <v>90.66</v>
      </c>
      <c r="R26" s="2">
        <v>3</v>
      </c>
      <c r="S26" s="2" t="s">
        <v>92</v>
      </c>
      <c r="T26" s="2"/>
    </row>
    <row r="27" spans="1:20" x14ac:dyDescent="0.25">
      <c r="A27" s="1"/>
      <c r="B27" s="2"/>
      <c r="C27" s="2"/>
      <c r="D27" s="2"/>
      <c r="E27" s="2"/>
      <c r="F27" s="2"/>
      <c r="G27" s="2" t="s">
        <v>17</v>
      </c>
      <c r="H27" s="2">
        <v>94</v>
      </c>
      <c r="I27" s="2">
        <v>79</v>
      </c>
      <c r="J27" s="2">
        <v>93</v>
      </c>
      <c r="K27" s="2">
        <v>89</v>
      </c>
      <c r="L27" s="2">
        <v>100</v>
      </c>
      <c r="M27" s="2">
        <v>91</v>
      </c>
      <c r="N27" s="2" t="s">
        <v>20</v>
      </c>
      <c r="O27" s="2"/>
      <c r="P27" s="2">
        <v>546</v>
      </c>
      <c r="Q27" s="2">
        <v>91</v>
      </c>
      <c r="R27" s="2"/>
      <c r="S27" s="2"/>
      <c r="T27" s="2"/>
    </row>
    <row r="28" spans="1:20" x14ac:dyDescent="0.25">
      <c r="A28" s="1">
        <v>14</v>
      </c>
      <c r="B28" s="2" t="s">
        <v>198</v>
      </c>
      <c r="C28" s="2"/>
      <c r="D28" s="2" t="s">
        <v>42</v>
      </c>
      <c r="E28" s="12" t="s">
        <v>721</v>
      </c>
      <c r="F28" s="2"/>
      <c r="G28" s="2" t="s">
        <v>16</v>
      </c>
      <c r="H28" s="2">
        <v>84</v>
      </c>
      <c r="I28" s="2">
        <v>83</v>
      </c>
      <c r="J28" s="2">
        <v>90</v>
      </c>
      <c r="K28" s="2">
        <v>95</v>
      </c>
      <c r="L28" s="2">
        <v>96</v>
      </c>
      <c r="M28" s="2">
        <v>87</v>
      </c>
      <c r="N28" s="2"/>
      <c r="O28" s="2"/>
      <c r="P28" s="2">
        <v>535</v>
      </c>
      <c r="Q28" s="2">
        <v>89.15</v>
      </c>
      <c r="R28" s="2">
        <v>7</v>
      </c>
      <c r="S28" s="2" t="s">
        <v>20</v>
      </c>
      <c r="T28" s="2"/>
    </row>
    <row r="29" spans="1:20" x14ac:dyDescent="0.25">
      <c r="A29" s="1"/>
      <c r="B29" s="2"/>
      <c r="C29" s="2"/>
      <c r="D29" s="2"/>
      <c r="E29" s="2"/>
      <c r="F29" s="2"/>
      <c r="G29" s="2" t="s">
        <v>17</v>
      </c>
      <c r="H29" s="2">
        <v>84</v>
      </c>
      <c r="I29" s="2">
        <v>87</v>
      </c>
      <c r="J29" s="2">
        <v>95</v>
      </c>
      <c r="K29" s="2">
        <v>95</v>
      </c>
      <c r="L29" s="2">
        <v>99</v>
      </c>
      <c r="M29" s="2">
        <v>95</v>
      </c>
      <c r="N29" s="2" t="s">
        <v>19</v>
      </c>
      <c r="O29" s="2"/>
      <c r="P29" s="2">
        <v>555</v>
      </c>
      <c r="Q29" s="2">
        <v>92.5</v>
      </c>
      <c r="R29" s="2"/>
      <c r="S29" s="2"/>
      <c r="T29" s="2"/>
    </row>
    <row r="30" spans="1:20" x14ac:dyDescent="0.25">
      <c r="A30" s="1">
        <v>15</v>
      </c>
      <c r="B30" s="4" t="s">
        <v>199</v>
      </c>
      <c r="C30" s="4"/>
      <c r="D30" s="4" t="s">
        <v>42</v>
      </c>
      <c r="E30" s="4" t="s">
        <v>571</v>
      </c>
      <c r="F30" s="4"/>
      <c r="G30" s="2" t="s">
        <v>16</v>
      </c>
      <c r="H30" s="2">
        <v>82</v>
      </c>
      <c r="I30" s="2">
        <v>81</v>
      </c>
      <c r="J30" s="2">
        <v>70</v>
      </c>
      <c r="K30" s="2">
        <v>76</v>
      </c>
      <c r="L30" s="2">
        <v>88</v>
      </c>
      <c r="M30" s="2">
        <v>87</v>
      </c>
      <c r="N30" s="2"/>
      <c r="O30" s="2"/>
      <c r="P30" s="2">
        <v>484</v>
      </c>
      <c r="Q30" s="2">
        <v>80.66</v>
      </c>
      <c r="R30" s="2">
        <v>11</v>
      </c>
      <c r="S30" s="4" t="s">
        <v>92</v>
      </c>
      <c r="T30" s="4"/>
    </row>
    <row r="31" spans="1:20" x14ac:dyDescent="0.25">
      <c r="A31" s="1"/>
      <c r="B31" s="2"/>
      <c r="C31" s="2"/>
      <c r="D31" s="2"/>
      <c r="E31" s="2"/>
      <c r="F31" s="2"/>
      <c r="G31" s="2" t="s">
        <v>17</v>
      </c>
      <c r="H31" s="2">
        <v>81</v>
      </c>
      <c r="I31" s="2">
        <v>81</v>
      </c>
      <c r="J31" s="2">
        <v>68</v>
      </c>
      <c r="K31" s="2">
        <v>68</v>
      </c>
      <c r="L31" s="2">
        <v>85</v>
      </c>
      <c r="M31" s="2">
        <v>80</v>
      </c>
      <c r="N31" s="2" t="s">
        <v>19</v>
      </c>
      <c r="O31" s="2"/>
      <c r="P31" s="2">
        <v>463</v>
      </c>
      <c r="Q31" s="2">
        <v>77.167000000000002</v>
      </c>
      <c r="R31" s="2"/>
      <c r="S31" s="2"/>
      <c r="T31" s="2"/>
    </row>
    <row r="32" spans="1:20" x14ac:dyDescent="0.25">
      <c r="A32" s="1">
        <v>16</v>
      </c>
      <c r="B32" s="2" t="s">
        <v>200</v>
      </c>
      <c r="C32" s="2"/>
      <c r="D32" s="2" t="s">
        <v>43</v>
      </c>
      <c r="E32" s="2" t="s">
        <v>572</v>
      </c>
      <c r="F32" s="2"/>
      <c r="G32" s="2" t="s">
        <v>16</v>
      </c>
      <c r="H32" s="2">
        <v>66</v>
      </c>
      <c r="I32" s="2">
        <v>61</v>
      </c>
      <c r="J32" s="2">
        <v>57</v>
      </c>
      <c r="K32" s="2">
        <v>65</v>
      </c>
      <c r="L32" s="2">
        <v>88</v>
      </c>
      <c r="M32" s="2">
        <v>49</v>
      </c>
      <c r="N32" s="2"/>
      <c r="O32" s="2"/>
      <c r="P32" s="2">
        <v>386</v>
      </c>
      <c r="Q32" s="2">
        <v>64.33</v>
      </c>
      <c r="R32" s="2">
        <v>17</v>
      </c>
      <c r="S32" s="2" t="s">
        <v>20</v>
      </c>
      <c r="T32" s="2"/>
    </row>
    <row r="33" spans="1:20" x14ac:dyDescent="0.25">
      <c r="A33" s="1"/>
      <c r="B33" s="2"/>
      <c r="C33" s="2"/>
      <c r="D33" s="2"/>
      <c r="E33" s="2"/>
      <c r="F33" s="2"/>
      <c r="G33" s="2" t="s">
        <v>17</v>
      </c>
      <c r="H33" s="2">
        <v>37</v>
      </c>
      <c r="I33" s="2">
        <v>57</v>
      </c>
      <c r="J33" s="2">
        <v>54</v>
      </c>
      <c r="K33" s="2">
        <v>70</v>
      </c>
      <c r="L33" s="2">
        <v>77</v>
      </c>
      <c r="M33" s="2">
        <v>55</v>
      </c>
      <c r="N33" s="2" t="s">
        <v>19</v>
      </c>
      <c r="O33" s="2"/>
      <c r="P33" s="2">
        <v>350</v>
      </c>
      <c r="Q33" s="2">
        <v>58.3</v>
      </c>
      <c r="R33" s="2"/>
      <c r="S33" s="2"/>
      <c r="T33" s="2"/>
    </row>
    <row r="34" spans="1:20" x14ac:dyDescent="0.25">
      <c r="A34" s="1">
        <v>17</v>
      </c>
      <c r="B34" s="2" t="s">
        <v>201</v>
      </c>
      <c r="C34" s="2"/>
      <c r="D34" s="2" t="s">
        <v>42</v>
      </c>
      <c r="E34" s="2" t="s">
        <v>573</v>
      </c>
      <c r="F34" s="2"/>
      <c r="G34" s="2" t="s">
        <v>16</v>
      </c>
      <c r="H34" s="2">
        <v>78</v>
      </c>
      <c r="I34" s="2">
        <v>83</v>
      </c>
      <c r="J34" s="2">
        <v>78</v>
      </c>
      <c r="K34" s="2">
        <v>78</v>
      </c>
      <c r="L34" s="2">
        <v>88</v>
      </c>
      <c r="M34" s="2">
        <v>68</v>
      </c>
      <c r="N34" s="2"/>
      <c r="O34" s="2"/>
      <c r="P34" s="2">
        <v>473</v>
      </c>
      <c r="Q34" s="2">
        <v>78.83</v>
      </c>
      <c r="R34" s="2">
        <v>13</v>
      </c>
      <c r="S34" s="2" t="s">
        <v>92</v>
      </c>
      <c r="T34" s="2"/>
    </row>
    <row r="35" spans="1:20" x14ac:dyDescent="0.25">
      <c r="A35" s="1"/>
      <c r="B35" s="2"/>
      <c r="C35" s="2"/>
      <c r="D35" s="2"/>
      <c r="E35" s="2"/>
      <c r="F35" s="2"/>
      <c r="G35" s="2" t="s">
        <v>17</v>
      </c>
      <c r="H35" s="2">
        <v>72</v>
      </c>
      <c r="I35" s="2">
        <v>87</v>
      </c>
      <c r="J35" s="2">
        <v>71</v>
      </c>
      <c r="K35" s="2">
        <v>71</v>
      </c>
      <c r="L35" s="2">
        <v>80</v>
      </c>
      <c r="M35" s="2">
        <v>77</v>
      </c>
      <c r="N35" s="2" t="s">
        <v>19</v>
      </c>
      <c r="O35" s="2"/>
      <c r="P35" s="2">
        <v>458</v>
      </c>
      <c r="Q35" s="2">
        <v>76.33</v>
      </c>
      <c r="R35" s="2"/>
      <c r="S35" s="2"/>
      <c r="T35" s="2"/>
    </row>
    <row r="36" spans="1:20" x14ac:dyDescent="0.25">
      <c r="A36" s="1">
        <v>18</v>
      </c>
      <c r="B36" s="9" t="s">
        <v>202</v>
      </c>
      <c r="C36" s="9"/>
      <c r="D36" s="2" t="s">
        <v>42</v>
      </c>
      <c r="E36" s="2" t="s">
        <v>574</v>
      </c>
      <c r="F36" s="2"/>
      <c r="G36" s="2" t="s">
        <v>16</v>
      </c>
      <c r="H36" s="2">
        <v>79</v>
      </c>
      <c r="I36" s="2">
        <v>70</v>
      </c>
      <c r="J36" s="2">
        <v>79</v>
      </c>
      <c r="K36" s="2">
        <v>87</v>
      </c>
      <c r="L36" s="2">
        <v>92</v>
      </c>
      <c r="M36" s="2">
        <v>88</v>
      </c>
      <c r="N36" s="2"/>
      <c r="O36" s="2"/>
      <c r="P36" s="2">
        <v>495</v>
      </c>
      <c r="Q36" s="2">
        <v>82.5</v>
      </c>
      <c r="R36" s="2">
        <v>10</v>
      </c>
      <c r="S36" s="2" t="s">
        <v>20</v>
      </c>
      <c r="T36" s="2"/>
    </row>
    <row r="37" spans="1:20" x14ac:dyDescent="0.25">
      <c r="A37" s="1"/>
      <c r="B37" s="2"/>
      <c r="C37" s="2"/>
      <c r="D37" s="2"/>
      <c r="E37" s="2"/>
      <c r="F37" s="2"/>
      <c r="G37" s="2" t="s">
        <v>17</v>
      </c>
      <c r="H37" s="2">
        <v>79</v>
      </c>
      <c r="I37" s="2">
        <v>78</v>
      </c>
      <c r="J37" s="2">
        <v>73</v>
      </c>
      <c r="K37" s="2">
        <v>76</v>
      </c>
      <c r="L37" s="2">
        <v>85</v>
      </c>
      <c r="M37" s="2">
        <v>81</v>
      </c>
      <c r="N37" s="2" t="s">
        <v>19</v>
      </c>
      <c r="O37" s="2"/>
      <c r="P37" s="2">
        <v>472</v>
      </c>
      <c r="Q37" s="2">
        <v>78.67</v>
      </c>
      <c r="R37" s="2"/>
      <c r="S37" s="2"/>
      <c r="T37" s="2"/>
    </row>
    <row r="38" spans="1:20" x14ac:dyDescent="0.25">
      <c r="A38" s="1">
        <v>19</v>
      </c>
      <c r="B38" s="2" t="s">
        <v>203</v>
      </c>
      <c r="C38" s="2"/>
      <c r="D38" s="2" t="s">
        <v>42</v>
      </c>
      <c r="E38" s="2" t="s">
        <v>575</v>
      </c>
      <c r="F38" s="2"/>
      <c r="G38" s="2" t="s">
        <v>16</v>
      </c>
      <c r="H38" s="2">
        <v>99</v>
      </c>
      <c r="I38" s="2">
        <v>93</v>
      </c>
      <c r="J38" s="2">
        <v>97</v>
      </c>
      <c r="K38" s="2">
        <v>89</v>
      </c>
      <c r="L38" s="2">
        <v>98</v>
      </c>
      <c r="M38" s="2">
        <v>97</v>
      </c>
      <c r="N38" s="2"/>
      <c r="O38" s="2"/>
      <c r="P38" s="2">
        <v>573</v>
      </c>
      <c r="Q38" s="2">
        <v>95.5</v>
      </c>
      <c r="R38" s="2">
        <v>1</v>
      </c>
      <c r="S38" s="2" t="s">
        <v>20</v>
      </c>
      <c r="T38" s="2"/>
    </row>
    <row r="39" spans="1:20" x14ac:dyDescent="0.25">
      <c r="A39" s="1"/>
      <c r="B39" s="2"/>
      <c r="C39" s="2"/>
      <c r="D39" s="2"/>
      <c r="E39" s="2"/>
      <c r="F39" s="2"/>
      <c r="G39" s="2" t="s">
        <v>17</v>
      </c>
      <c r="H39" s="2">
        <v>98</v>
      </c>
      <c r="I39" s="2">
        <v>93</v>
      </c>
      <c r="J39" s="2">
        <v>92</v>
      </c>
      <c r="K39" s="2">
        <v>86</v>
      </c>
      <c r="L39" s="2">
        <v>100</v>
      </c>
      <c r="M39" s="2">
        <v>94</v>
      </c>
      <c r="N39" s="2" t="s">
        <v>19</v>
      </c>
      <c r="O39" s="2"/>
      <c r="P39" s="2">
        <v>563</v>
      </c>
      <c r="Q39" s="2">
        <v>93.83</v>
      </c>
      <c r="R39" s="2"/>
      <c r="S39" s="2"/>
      <c r="T39" s="2"/>
    </row>
    <row r="40" spans="1:20" x14ac:dyDescent="0.25">
      <c r="A40" s="1">
        <v>20</v>
      </c>
      <c r="B40" s="2" t="s">
        <v>204</v>
      </c>
      <c r="C40" s="2"/>
      <c r="D40" s="2" t="s">
        <v>42</v>
      </c>
      <c r="E40" s="2" t="s">
        <v>576</v>
      </c>
      <c r="F40" s="2"/>
      <c r="G40" s="2" t="s">
        <v>16</v>
      </c>
      <c r="H40" s="2">
        <v>70</v>
      </c>
      <c r="I40" s="2">
        <v>46</v>
      </c>
      <c r="J40" s="2">
        <v>57</v>
      </c>
      <c r="K40" s="2">
        <v>58</v>
      </c>
      <c r="L40" s="2">
        <v>46</v>
      </c>
      <c r="M40" s="2">
        <v>60</v>
      </c>
      <c r="N40" s="2"/>
      <c r="O40" s="2"/>
      <c r="P40" s="2">
        <v>337</v>
      </c>
      <c r="Q40" s="2">
        <v>56.16</v>
      </c>
      <c r="R40" s="2">
        <v>19</v>
      </c>
      <c r="S40" s="2" t="s">
        <v>20</v>
      </c>
      <c r="T40" s="2"/>
    </row>
    <row r="41" spans="1:20" x14ac:dyDescent="0.25">
      <c r="A41" s="1"/>
      <c r="B41" s="2"/>
      <c r="C41" s="2"/>
      <c r="D41" s="2"/>
      <c r="E41" s="2"/>
      <c r="F41" s="2"/>
      <c r="G41" s="2" t="s">
        <v>17</v>
      </c>
      <c r="H41" s="2">
        <v>51</v>
      </c>
      <c r="I41" s="2">
        <v>46</v>
      </c>
      <c r="J41" s="2">
        <v>54</v>
      </c>
      <c r="K41" s="2">
        <v>51</v>
      </c>
      <c r="L41" s="2">
        <v>50</v>
      </c>
      <c r="M41" s="2">
        <v>43</v>
      </c>
      <c r="N41" s="2" t="s">
        <v>19</v>
      </c>
      <c r="O41" s="2"/>
      <c r="P41" s="2">
        <v>295</v>
      </c>
      <c r="Q41" s="2">
        <v>49.167000000000002</v>
      </c>
      <c r="R41" s="2"/>
      <c r="S41" s="2"/>
      <c r="T41" s="2"/>
    </row>
    <row r="42" spans="1:20" x14ac:dyDescent="0.25">
      <c r="A42" s="1">
        <v>21</v>
      </c>
      <c r="B42" s="2" t="s">
        <v>205</v>
      </c>
      <c r="C42" s="2"/>
      <c r="D42" s="2" t="s">
        <v>42</v>
      </c>
      <c r="E42" s="2" t="s">
        <v>577</v>
      </c>
      <c r="F42" s="2"/>
      <c r="G42" s="2" t="s">
        <v>16</v>
      </c>
      <c r="H42" s="2">
        <v>81</v>
      </c>
      <c r="I42" s="2">
        <v>57</v>
      </c>
      <c r="J42" s="2">
        <v>65</v>
      </c>
      <c r="K42" s="2">
        <v>53</v>
      </c>
      <c r="L42" s="2">
        <v>63</v>
      </c>
      <c r="M42" s="2">
        <v>66</v>
      </c>
      <c r="N42" s="2"/>
      <c r="O42" s="2"/>
      <c r="P42" s="2">
        <v>375</v>
      </c>
      <c r="Q42" s="2">
        <v>62.5</v>
      </c>
      <c r="R42" s="2">
        <v>18</v>
      </c>
      <c r="S42" s="2" t="s">
        <v>92</v>
      </c>
      <c r="T42" s="2"/>
    </row>
    <row r="43" spans="1:20" x14ac:dyDescent="0.25">
      <c r="A43" s="1"/>
      <c r="B43" s="2"/>
      <c r="C43" s="2"/>
      <c r="D43" s="2"/>
      <c r="E43" s="2"/>
      <c r="F43" s="2"/>
      <c r="G43" s="2" t="s">
        <v>17</v>
      </c>
      <c r="H43" s="2">
        <v>89</v>
      </c>
      <c r="I43" s="2">
        <v>66</v>
      </c>
      <c r="J43" s="2">
        <v>71</v>
      </c>
      <c r="K43" s="2">
        <v>75</v>
      </c>
      <c r="L43" s="2">
        <v>83</v>
      </c>
      <c r="M43" s="2">
        <v>65</v>
      </c>
      <c r="N43" s="2" t="s">
        <v>19</v>
      </c>
      <c r="O43" s="2"/>
      <c r="P43" s="2">
        <v>449</v>
      </c>
      <c r="Q43" s="2">
        <v>74.83</v>
      </c>
      <c r="R43" s="2"/>
      <c r="S43" s="2"/>
      <c r="T43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C00000"/>
  </sheetPr>
  <dimension ref="A1:U45"/>
  <sheetViews>
    <sheetView topLeftCell="C20" zoomScale="86" zoomScaleNormal="86" zoomScalePageLayoutView="86" workbookViewId="0">
      <selection activeCell="S45" sqref="S45"/>
    </sheetView>
  </sheetViews>
  <sheetFormatPr defaultColWidth="11.125" defaultRowHeight="15.75" x14ac:dyDescent="0.25"/>
  <cols>
    <col min="1" max="1" width="7.5" customWidth="1"/>
    <col min="2" max="2" width="25.625" customWidth="1"/>
    <col min="3" max="4" width="8.5" customWidth="1"/>
    <col min="5" max="5" width="10.625" bestFit="1" customWidth="1"/>
    <col min="6" max="6" width="8.5" customWidth="1"/>
  </cols>
  <sheetData>
    <row r="1" spans="1:21" ht="132.75" x14ac:dyDescent="0.25">
      <c r="A1" s="5" t="s">
        <v>0</v>
      </c>
      <c r="B1" s="6" t="s">
        <v>382</v>
      </c>
      <c r="C1" s="6" t="s">
        <v>3</v>
      </c>
      <c r="D1" s="6" t="s">
        <v>2</v>
      </c>
      <c r="E1" s="6" t="s">
        <v>389</v>
      </c>
      <c r="F1" s="6" t="s">
        <v>390</v>
      </c>
      <c r="G1" s="6" t="s">
        <v>385</v>
      </c>
      <c r="H1" s="6" t="s">
        <v>5</v>
      </c>
      <c r="I1" s="6" t="s">
        <v>6</v>
      </c>
      <c r="J1" s="6" t="s">
        <v>7</v>
      </c>
      <c r="K1" s="6" t="s">
        <v>736</v>
      </c>
      <c r="L1" s="6" t="s">
        <v>8</v>
      </c>
      <c r="M1" s="6" t="s">
        <v>167</v>
      </c>
      <c r="N1" s="52" t="s">
        <v>735</v>
      </c>
      <c r="O1" s="6" t="s">
        <v>9</v>
      </c>
      <c r="P1" s="6" t="s">
        <v>10</v>
      </c>
      <c r="Q1" s="6" t="s">
        <v>11</v>
      </c>
      <c r="R1" s="6" t="s">
        <v>12</v>
      </c>
      <c r="S1" s="6" t="s">
        <v>13</v>
      </c>
      <c r="T1" s="6" t="s">
        <v>14</v>
      </c>
      <c r="U1" s="7"/>
    </row>
    <row r="2" spans="1:21" x14ac:dyDescent="0.25">
      <c r="A2" s="1">
        <v>1</v>
      </c>
      <c r="B2" s="2" t="s">
        <v>206</v>
      </c>
      <c r="C2" s="13"/>
      <c r="D2" s="2" t="s">
        <v>42</v>
      </c>
      <c r="E2" s="2" t="s">
        <v>578</v>
      </c>
      <c r="F2" s="2"/>
      <c r="G2" s="2" t="s">
        <v>16</v>
      </c>
      <c r="H2" s="2">
        <v>94</v>
      </c>
      <c r="I2" s="2">
        <v>97</v>
      </c>
      <c r="J2" s="2">
        <v>99</v>
      </c>
      <c r="K2" s="2">
        <v>94</v>
      </c>
      <c r="L2" s="2">
        <v>95</v>
      </c>
      <c r="M2" s="2">
        <v>88</v>
      </c>
      <c r="N2" s="2" t="s">
        <v>20</v>
      </c>
      <c r="O2" s="2" t="s">
        <v>20</v>
      </c>
      <c r="P2" s="2">
        <v>567</v>
      </c>
      <c r="Q2" s="2">
        <v>94.5</v>
      </c>
      <c r="R2" s="2">
        <v>2</v>
      </c>
      <c r="S2" s="2" t="s">
        <v>20</v>
      </c>
      <c r="T2" s="2"/>
    </row>
    <row r="3" spans="1:21" x14ac:dyDescent="0.25">
      <c r="A3" s="1"/>
      <c r="B3" s="2"/>
      <c r="C3" s="2"/>
      <c r="D3" s="2"/>
      <c r="E3" s="2"/>
      <c r="F3" s="2"/>
      <c r="G3" s="2" t="s">
        <v>17</v>
      </c>
      <c r="H3" s="2">
        <v>94</v>
      </c>
      <c r="I3" s="2">
        <v>97</v>
      </c>
      <c r="J3" s="2">
        <v>98</v>
      </c>
      <c r="K3" s="2">
        <v>92</v>
      </c>
      <c r="L3" s="2">
        <v>99</v>
      </c>
      <c r="M3" s="2">
        <v>100</v>
      </c>
      <c r="N3" s="2" t="s">
        <v>20</v>
      </c>
      <c r="O3" s="2" t="s">
        <v>20</v>
      </c>
      <c r="P3" s="2">
        <v>580</v>
      </c>
      <c r="Q3" s="2">
        <v>96.66</v>
      </c>
      <c r="R3" s="2">
        <v>1</v>
      </c>
      <c r="S3" s="2" t="s">
        <v>20</v>
      </c>
      <c r="T3" s="2"/>
    </row>
    <row r="4" spans="1:21" x14ac:dyDescent="0.25">
      <c r="A4" s="1">
        <v>2</v>
      </c>
      <c r="B4" s="9" t="s">
        <v>207</v>
      </c>
      <c r="C4" s="2"/>
      <c r="D4" s="2" t="s">
        <v>42</v>
      </c>
      <c r="E4" s="12" t="s">
        <v>722</v>
      </c>
      <c r="F4" s="2"/>
      <c r="G4" s="2" t="s">
        <v>16</v>
      </c>
      <c r="H4" s="2">
        <v>83</v>
      </c>
      <c r="I4" s="2">
        <v>68</v>
      </c>
      <c r="J4" s="2">
        <v>75</v>
      </c>
      <c r="K4" s="2">
        <v>67</v>
      </c>
      <c r="L4" s="2">
        <v>88</v>
      </c>
      <c r="M4" s="2">
        <v>72</v>
      </c>
      <c r="N4" s="2" t="s">
        <v>20</v>
      </c>
      <c r="O4" s="2" t="s">
        <v>21</v>
      </c>
      <c r="P4" s="2">
        <v>453</v>
      </c>
      <c r="Q4" s="2">
        <v>75.5</v>
      </c>
      <c r="R4" s="2">
        <v>14</v>
      </c>
      <c r="S4" s="2" t="s">
        <v>20</v>
      </c>
      <c r="T4" s="2"/>
    </row>
    <row r="5" spans="1:21" x14ac:dyDescent="0.25">
      <c r="A5" s="1"/>
      <c r="B5" s="2"/>
      <c r="C5" s="2"/>
      <c r="D5" s="2"/>
      <c r="E5" s="2"/>
      <c r="F5" s="2"/>
      <c r="G5" s="2" t="s">
        <v>17</v>
      </c>
      <c r="H5" s="2">
        <v>71</v>
      </c>
      <c r="I5" s="2">
        <v>73</v>
      </c>
      <c r="J5" s="2">
        <v>60</v>
      </c>
      <c r="K5" s="2">
        <v>61</v>
      </c>
      <c r="L5" s="2">
        <v>61</v>
      </c>
      <c r="M5" s="2">
        <v>64</v>
      </c>
      <c r="N5" s="2" t="s">
        <v>19</v>
      </c>
      <c r="O5" s="2"/>
      <c r="P5" s="2">
        <v>390</v>
      </c>
      <c r="Q5" s="2">
        <v>65</v>
      </c>
      <c r="R5" s="2">
        <v>19</v>
      </c>
      <c r="S5" s="2" t="s">
        <v>20</v>
      </c>
      <c r="T5" s="2"/>
    </row>
    <row r="6" spans="1:21" x14ac:dyDescent="0.25">
      <c r="A6" s="1">
        <v>3</v>
      </c>
      <c r="B6" s="2" t="s">
        <v>208</v>
      </c>
      <c r="C6" s="2"/>
      <c r="D6" s="2" t="s">
        <v>43</v>
      </c>
      <c r="E6" s="2" t="s">
        <v>579</v>
      </c>
      <c r="F6" s="2"/>
      <c r="G6" s="2" t="s">
        <v>16</v>
      </c>
      <c r="H6" s="2">
        <v>67</v>
      </c>
      <c r="I6" s="2">
        <v>69</v>
      </c>
      <c r="J6" s="2">
        <v>75</v>
      </c>
      <c r="K6" s="2">
        <v>66</v>
      </c>
      <c r="L6" s="2">
        <v>78</v>
      </c>
      <c r="M6" s="2">
        <v>66</v>
      </c>
      <c r="N6" s="2" t="s">
        <v>19</v>
      </c>
      <c r="O6" s="2" t="s">
        <v>21</v>
      </c>
      <c r="P6" s="2">
        <v>421</v>
      </c>
      <c r="Q6" s="2">
        <v>70.16</v>
      </c>
      <c r="R6" s="2">
        <v>17</v>
      </c>
      <c r="S6" s="2" t="s">
        <v>20</v>
      </c>
      <c r="T6" s="2"/>
    </row>
    <row r="7" spans="1:21" x14ac:dyDescent="0.25">
      <c r="A7" s="1"/>
      <c r="B7" s="2"/>
      <c r="C7" s="2"/>
      <c r="D7" s="2"/>
      <c r="E7" s="2"/>
      <c r="F7" s="2"/>
      <c r="G7" s="2" t="s">
        <v>17</v>
      </c>
      <c r="H7" s="2">
        <v>81</v>
      </c>
      <c r="I7" s="2">
        <v>70</v>
      </c>
      <c r="J7" s="2">
        <v>76</v>
      </c>
      <c r="K7" s="2">
        <v>72</v>
      </c>
      <c r="L7" s="2">
        <v>72</v>
      </c>
      <c r="M7" s="2">
        <v>76</v>
      </c>
      <c r="N7" s="2" t="s">
        <v>19</v>
      </c>
      <c r="O7" s="2" t="s">
        <v>21</v>
      </c>
      <c r="P7" s="2">
        <v>447</v>
      </c>
      <c r="Q7" s="2">
        <v>74.5</v>
      </c>
      <c r="R7" s="2">
        <v>14</v>
      </c>
      <c r="S7" s="2"/>
      <c r="T7" s="2"/>
    </row>
    <row r="8" spans="1:21" x14ac:dyDescent="0.25">
      <c r="A8" s="1">
        <v>4</v>
      </c>
      <c r="B8" s="2" t="s">
        <v>209</v>
      </c>
      <c r="C8" s="2"/>
      <c r="D8" s="2"/>
      <c r="E8" s="2" t="s">
        <v>580</v>
      </c>
      <c r="F8" s="2"/>
      <c r="G8" s="2" t="s">
        <v>16</v>
      </c>
      <c r="H8" s="2">
        <v>63</v>
      </c>
      <c r="I8" s="2">
        <v>68</v>
      </c>
      <c r="J8" s="2">
        <v>71</v>
      </c>
      <c r="K8" s="2">
        <v>81</v>
      </c>
      <c r="L8" s="2">
        <v>78</v>
      </c>
      <c r="M8" s="2">
        <v>44</v>
      </c>
      <c r="N8" s="2" t="s">
        <v>19</v>
      </c>
      <c r="O8" s="2" t="s">
        <v>21</v>
      </c>
      <c r="P8" s="2">
        <v>405</v>
      </c>
      <c r="Q8" s="2">
        <v>67.5</v>
      </c>
      <c r="R8" s="2">
        <v>18</v>
      </c>
      <c r="S8" s="2" t="s">
        <v>19</v>
      </c>
      <c r="T8" s="2"/>
    </row>
    <row r="9" spans="1:21" x14ac:dyDescent="0.25">
      <c r="A9" s="1"/>
      <c r="B9" s="2"/>
      <c r="C9" s="2"/>
      <c r="D9" s="2"/>
      <c r="E9" s="2"/>
      <c r="F9" s="2"/>
      <c r="G9" s="2" t="s">
        <v>17</v>
      </c>
      <c r="H9" s="2">
        <v>50</v>
      </c>
      <c r="I9" s="2">
        <v>62</v>
      </c>
      <c r="J9" s="2">
        <v>62</v>
      </c>
      <c r="K9" s="2">
        <v>87</v>
      </c>
      <c r="L9" s="2">
        <v>79</v>
      </c>
      <c r="M9" s="2">
        <v>55</v>
      </c>
      <c r="N9" s="2" t="s">
        <v>19</v>
      </c>
      <c r="O9" s="2" t="s">
        <v>21</v>
      </c>
      <c r="P9" s="2">
        <v>395</v>
      </c>
      <c r="Q9" s="2">
        <v>65.83</v>
      </c>
      <c r="R9" s="2">
        <v>18</v>
      </c>
      <c r="S9" s="2"/>
      <c r="T9" s="2"/>
    </row>
    <row r="10" spans="1:21" x14ac:dyDescent="0.25">
      <c r="A10" s="1">
        <v>5</v>
      </c>
      <c r="B10" s="2" t="s">
        <v>210</v>
      </c>
      <c r="C10" s="2"/>
      <c r="D10" s="2" t="s">
        <v>43</v>
      </c>
      <c r="E10" s="2" t="s">
        <v>581</v>
      </c>
      <c r="F10" s="2"/>
      <c r="G10" s="2" t="s">
        <v>16</v>
      </c>
      <c r="H10" s="2">
        <v>66</v>
      </c>
      <c r="I10" s="2">
        <v>78</v>
      </c>
      <c r="J10" s="2">
        <v>74</v>
      </c>
      <c r="K10" s="2">
        <v>77</v>
      </c>
      <c r="L10" s="2">
        <v>89</v>
      </c>
      <c r="M10" s="2">
        <v>79</v>
      </c>
      <c r="N10" s="2" t="s">
        <v>92</v>
      </c>
      <c r="O10" s="2" t="s">
        <v>20</v>
      </c>
      <c r="P10" s="2">
        <v>463</v>
      </c>
      <c r="Q10" s="2">
        <v>77.16</v>
      </c>
      <c r="R10" s="2">
        <v>10</v>
      </c>
      <c r="S10" s="2" t="s">
        <v>19</v>
      </c>
      <c r="T10" s="2"/>
    </row>
    <row r="11" spans="1:21" x14ac:dyDescent="0.25">
      <c r="A11" s="1"/>
      <c r="B11" s="2"/>
      <c r="C11" s="2"/>
      <c r="D11" s="2"/>
      <c r="E11" s="2"/>
      <c r="F11" s="2"/>
      <c r="G11" s="2" t="s">
        <v>17</v>
      </c>
      <c r="H11" s="2">
        <v>69</v>
      </c>
      <c r="I11" s="2">
        <v>68</v>
      </c>
      <c r="J11" s="2">
        <v>79</v>
      </c>
      <c r="K11" s="2">
        <v>79</v>
      </c>
      <c r="L11" s="2">
        <v>80</v>
      </c>
      <c r="M11" s="2">
        <v>84</v>
      </c>
      <c r="N11" s="2" t="s">
        <v>19</v>
      </c>
      <c r="O11" s="2" t="s">
        <v>21</v>
      </c>
      <c r="P11" s="2">
        <v>459</v>
      </c>
      <c r="Q11" s="2">
        <v>76.5</v>
      </c>
      <c r="R11" s="2">
        <v>12</v>
      </c>
      <c r="S11" s="2"/>
      <c r="T11" s="2"/>
    </row>
    <row r="12" spans="1:21" x14ac:dyDescent="0.25">
      <c r="A12" s="1">
        <v>6</v>
      </c>
      <c r="B12" s="9" t="s">
        <v>211</v>
      </c>
      <c r="C12" s="2"/>
      <c r="D12" s="2" t="s">
        <v>42</v>
      </c>
      <c r="E12" s="2" t="s">
        <v>582</v>
      </c>
      <c r="F12" s="2"/>
      <c r="G12" s="2" t="s">
        <v>16</v>
      </c>
      <c r="H12" s="2">
        <v>82</v>
      </c>
      <c r="I12" s="2">
        <v>69</v>
      </c>
      <c r="J12" s="2">
        <v>77</v>
      </c>
      <c r="K12" s="2">
        <v>82</v>
      </c>
      <c r="L12" s="2">
        <v>81</v>
      </c>
      <c r="M12" s="2">
        <v>86</v>
      </c>
      <c r="N12" s="2" t="s">
        <v>92</v>
      </c>
      <c r="O12" s="2" t="s">
        <v>21</v>
      </c>
      <c r="P12" s="2">
        <v>477</v>
      </c>
      <c r="Q12" s="2">
        <v>79.5</v>
      </c>
      <c r="R12" s="2">
        <v>8</v>
      </c>
      <c r="S12" s="2" t="s">
        <v>20</v>
      </c>
      <c r="T12" s="2"/>
    </row>
    <row r="13" spans="1:21" x14ac:dyDescent="0.25">
      <c r="A13" s="1"/>
      <c r="B13" s="2"/>
      <c r="C13" s="2"/>
      <c r="D13" s="2"/>
      <c r="E13" s="2"/>
      <c r="F13" s="2"/>
      <c r="G13" s="2" t="s">
        <v>17</v>
      </c>
      <c r="H13" s="2">
        <v>79</v>
      </c>
      <c r="I13" s="2">
        <v>52</v>
      </c>
      <c r="J13" s="2">
        <v>72</v>
      </c>
      <c r="K13" s="2">
        <v>70</v>
      </c>
      <c r="L13" s="2">
        <v>78</v>
      </c>
      <c r="M13" s="2">
        <v>85</v>
      </c>
      <c r="N13" s="2" t="s">
        <v>20</v>
      </c>
      <c r="O13" s="2" t="s">
        <v>19</v>
      </c>
      <c r="P13" s="2">
        <v>436</v>
      </c>
      <c r="Q13" s="2">
        <v>72.66</v>
      </c>
      <c r="R13" s="2">
        <v>16</v>
      </c>
      <c r="S13" s="2" t="s">
        <v>20</v>
      </c>
      <c r="T13" s="2"/>
    </row>
    <row r="14" spans="1:21" x14ac:dyDescent="0.25">
      <c r="A14" s="1">
        <v>7</v>
      </c>
      <c r="B14" s="2" t="s">
        <v>212</v>
      </c>
      <c r="C14" s="2"/>
      <c r="D14" s="2" t="s">
        <v>43</v>
      </c>
      <c r="E14" s="2" t="s">
        <v>583</v>
      </c>
      <c r="F14" s="2"/>
      <c r="G14" s="2" t="s">
        <v>16</v>
      </c>
      <c r="H14" s="2">
        <v>79</v>
      </c>
      <c r="I14" s="2">
        <v>66</v>
      </c>
      <c r="J14" s="2">
        <v>84</v>
      </c>
      <c r="K14" s="2">
        <v>69</v>
      </c>
      <c r="L14" s="2">
        <v>89</v>
      </c>
      <c r="M14" s="2">
        <v>84</v>
      </c>
      <c r="N14" s="2" t="s">
        <v>19</v>
      </c>
      <c r="O14" s="2" t="s">
        <v>21</v>
      </c>
      <c r="P14" s="10">
        <v>471</v>
      </c>
      <c r="Q14" s="11">
        <v>78.5</v>
      </c>
      <c r="R14" s="11">
        <v>9</v>
      </c>
      <c r="S14" s="11" t="s">
        <v>20</v>
      </c>
      <c r="T14" s="2"/>
    </row>
    <row r="15" spans="1:21" x14ac:dyDescent="0.25">
      <c r="A15" s="1"/>
      <c r="B15" s="2"/>
      <c r="C15" s="2"/>
      <c r="D15" s="2"/>
      <c r="E15" s="2"/>
      <c r="F15" s="2"/>
      <c r="G15" s="2" t="s">
        <v>17</v>
      </c>
      <c r="H15" s="2">
        <v>85</v>
      </c>
      <c r="I15" s="2">
        <v>75</v>
      </c>
      <c r="J15" s="2">
        <v>82</v>
      </c>
      <c r="K15" s="2">
        <v>77</v>
      </c>
      <c r="L15" s="2">
        <v>86</v>
      </c>
      <c r="M15" s="2">
        <v>88</v>
      </c>
      <c r="N15" s="2" t="s">
        <v>19</v>
      </c>
      <c r="O15" s="2" t="s">
        <v>21</v>
      </c>
      <c r="P15" s="2">
        <v>493</v>
      </c>
      <c r="Q15" s="2">
        <v>82.16</v>
      </c>
      <c r="R15" s="2">
        <v>7</v>
      </c>
      <c r="S15" s="2"/>
      <c r="T15" s="2"/>
    </row>
    <row r="16" spans="1:21" x14ac:dyDescent="0.25">
      <c r="A16" s="1">
        <v>8</v>
      </c>
      <c r="B16" s="9" t="s">
        <v>213</v>
      </c>
      <c r="C16" s="2"/>
      <c r="D16" s="2" t="s">
        <v>43</v>
      </c>
      <c r="E16" s="2" t="s">
        <v>584</v>
      </c>
      <c r="F16" s="2"/>
      <c r="G16" s="2" t="s">
        <v>16</v>
      </c>
      <c r="H16" s="2">
        <v>86</v>
      </c>
      <c r="I16" s="2">
        <v>79</v>
      </c>
      <c r="J16" s="2">
        <v>88</v>
      </c>
      <c r="K16" s="2">
        <v>93</v>
      </c>
      <c r="L16" s="2">
        <v>96</v>
      </c>
      <c r="M16" s="2">
        <v>90</v>
      </c>
      <c r="N16" s="2" t="s">
        <v>92</v>
      </c>
      <c r="O16" s="2" t="s">
        <v>20</v>
      </c>
      <c r="P16" s="2">
        <v>534</v>
      </c>
      <c r="Q16" s="2">
        <v>85.66</v>
      </c>
      <c r="R16" s="2">
        <v>5</v>
      </c>
      <c r="S16" s="2" t="s">
        <v>20</v>
      </c>
      <c r="T16" s="2"/>
    </row>
    <row r="17" spans="1:20" x14ac:dyDescent="0.25">
      <c r="A17" s="1"/>
      <c r="B17" s="2"/>
      <c r="C17" s="2"/>
      <c r="D17" s="2"/>
      <c r="E17" s="2"/>
      <c r="F17" s="2"/>
      <c r="G17" s="2" t="s">
        <v>17</v>
      </c>
      <c r="H17" s="2">
        <v>89</v>
      </c>
      <c r="I17" s="2">
        <v>90</v>
      </c>
      <c r="J17" s="2">
        <v>80</v>
      </c>
      <c r="K17" s="2">
        <v>85</v>
      </c>
      <c r="L17" s="2">
        <v>99</v>
      </c>
      <c r="M17" s="2">
        <v>87</v>
      </c>
      <c r="N17" s="2" t="s">
        <v>19</v>
      </c>
      <c r="O17" s="2" t="s">
        <v>20</v>
      </c>
      <c r="P17" s="2">
        <v>530</v>
      </c>
      <c r="Q17" s="2">
        <v>88.33</v>
      </c>
      <c r="R17" s="2">
        <v>4</v>
      </c>
      <c r="S17" s="2"/>
      <c r="T17" s="2"/>
    </row>
    <row r="18" spans="1:20" x14ac:dyDescent="0.25">
      <c r="A18" s="1">
        <v>9</v>
      </c>
      <c r="B18" s="2" t="s">
        <v>214</v>
      </c>
      <c r="C18" s="2"/>
      <c r="D18" s="2" t="s">
        <v>43</v>
      </c>
      <c r="E18" s="2" t="s">
        <v>585</v>
      </c>
      <c r="F18" s="2"/>
      <c r="G18" s="2" t="s">
        <v>16</v>
      </c>
      <c r="H18" s="2">
        <v>68</v>
      </c>
      <c r="I18" s="2">
        <v>53</v>
      </c>
      <c r="J18" s="2">
        <v>48</v>
      </c>
      <c r="K18" s="2">
        <v>86</v>
      </c>
      <c r="L18" s="2">
        <v>83</v>
      </c>
      <c r="M18" s="2">
        <v>66</v>
      </c>
      <c r="N18" s="2" t="s">
        <v>19</v>
      </c>
      <c r="O18" s="2" t="s">
        <v>21</v>
      </c>
      <c r="P18" s="2">
        <v>404</v>
      </c>
      <c r="Q18" s="2">
        <v>67.33</v>
      </c>
      <c r="R18" s="2">
        <v>19</v>
      </c>
      <c r="S18" s="2" t="s">
        <v>20</v>
      </c>
      <c r="T18" s="2"/>
    </row>
    <row r="19" spans="1:20" x14ac:dyDescent="0.25">
      <c r="A19" s="1"/>
      <c r="B19" s="2"/>
      <c r="C19" s="2"/>
      <c r="D19" s="2"/>
      <c r="E19" s="2"/>
      <c r="F19" s="2"/>
      <c r="G19" s="2" t="s">
        <v>17</v>
      </c>
      <c r="H19" s="2">
        <v>74</v>
      </c>
      <c r="I19" s="2">
        <v>54</v>
      </c>
      <c r="J19" s="2"/>
      <c r="K19" s="2">
        <v>52</v>
      </c>
      <c r="L19" s="2">
        <v>78</v>
      </c>
      <c r="M19" s="2">
        <v>42</v>
      </c>
      <c r="N19" s="2" t="s">
        <v>19</v>
      </c>
      <c r="O19" s="2" t="s">
        <v>21</v>
      </c>
      <c r="P19" s="2">
        <v>378</v>
      </c>
      <c r="Q19" s="2">
        <v>63</v>
      </c>
      <c r="R19" s="2">
        <v>20</v>
      </c>
      <c r="S19" s="2" t="s">
        <v>20</v>
      </c>
      <c r="T19" s="2"/>
    </row>
    <row r="20" spans="1:20" x14ac:dyDescent="0.25">
      <c r="A20" s="1">
        <v>10</v>
      </c>
      <c r="B20" s="2" t="s">
        <v>215</v>
      </c>
      <c r="C20" s="2"/>
      <c r="D20" s="2" t="s">
        <v>43</v>
      </c>
      <c r="E20" s="2" t="s">
        <v>586</v>
      </c>
      <c r="F20" s="2"/>
      <c r="G20" s="2" t="s">
        <v>16</v>
      </c>
      <c r="H20" s="2">
        <v>84</v>
      </c>
      <c r="I20" s="2">
        <v>69</v>
      </c>
      <c r="J20" s="2">
        <v>88</v>
      </c>
      <c r="K20" s="2">
        <v>91</v>
      </c>
      <c r="L20" s="2">
        <v>97</v>
      </c>
      <c r="M20" s="2">
        <v>89</v>
      </c>
      <c r="N20" s="2" t="s">
        <v>20</v>
      </c>
      <c r="O20" s="2" t="s">
        <v>19</v>
      </c>
      <c r="P20" s="2">
        <v>518</v>
      </c>
      <c r="Q20" s="2">
        <v>86.33</v>
      </c>
      <c r="R20" s="2">
        <v>5</v>
      </c>
      <c r="S20" s="2" t="s">
        <v>20</v>
      </c>
      <c r="T20" s="2"/>
    </row>
    <row r="21" spans="1:20" x14ac:dyDescent="0.25">
      <c r="A21" s="1"/>
      <c r="B21" s="2"/>
      <c r="C21" s="2"/>
      <c r="D21" s="2"/>
      <c r="E21" s="2"/>
      <c r="F21" s="2"/>
      <c r="G21" s="2" t="s">
        <v>17</v>
      </c>
      <c r="H21" s="2">
        <v>88</v>
      </c>
      <c r="I21" s="2">
        <v>82</v>
      </c>
      <c r="J21" s="2">
        <v>84</v>
      </c>
      <c r="K21" s="2">
        <v>93</v>
      </c>
      <c r="L21" s="2">
        <v>92</v>
      </c>
      <c r="M21" s="2">
        <v>87</v>
      </c>
      <c r="N21" s="2" t="s">
        <v>20</v>
      </c>
      <c r="O21" s="2" t="s">
        <v>21</v>
      </c>
      <c r="P21" s="2">
        <v>526</v>
      </c>
      <c r="Q21" s="2">
        <v>87.66</v>
      </c>
      <c r="R21" s="2">
        <v>5</v>
      </c>
      <c r="S21" s="2" t="s">
        <v>20</v>
      </c>
      <c r="T21" s="2"/>
    </row>
    <row r="22" spans="1:20" x14ac:dyDescent="0.25">
      <c r="A22" s="1">
        <v>11</v>
      </c>
      <c r="B22" s="2" t="s">
        <v>216</v>
      </c>
      <c r="C22" s="2"/>
      <c r="D22" s="2" t="s">
        <v>43</v>
      </c>
      <c r="E22" s="2" t="s">
        <v>587</v>
      </c>
      <c r="F22" s="2"/>
      <c r="G22" s="2" t="s">
        <v>16</v>
      </c>
      <c r="H22" s="2">
        <v>80</v>
      </c>
      <c r="I22" s="2">
        <v>70</v>
      </c>
      <c r="J22" s="2">
        <v>78</v>
      </c>
      <c r="K22" s="2">
        <v>69</v>
      </c>
      <c r="L22" s="2">
        <v>87</v>
      </c>
      <c r="M22" s="2">
        <v>78</v>
      </c>
      <c r="N22" s="2" t="s">
        <v>92</v>
      </c>
      <c r="O22" s="2" t="s">
        <v>19</v>
      </c>
      <c r="P22" s="2">
        <v>462</v>
      </c>
      <c r="Q22" s="2">
        <v>77</v>
      </c>
      <c r="R22" s="2">
        <v>11</v>
      </c>
      <c r="S22" s="2" t="s">
        <v>19</v>
      </c>
      <c r="T22" s="2"/>
    </row>
    <row r="23" spans="1:20" x14ac:dyDescent="0.25">
      <c r="A23" s="1"/>
      <c r="B23" s="2"/>
      <c r="C23" s="2"/>
      <c r="D23" s="2"/>
      <c r="E23" s="2"/>
      <c r="F23" s="2"/>
      <c r="G23" s="2" t="s">
        <v>17</v>
      </c>
      <c r="H23" s="2">
        <v>84</v>
      </c>
      <c r="I23" s="2">
        <v>70</v>
      </c>
      <c r="J23" s="2">
        <v>76</v>
      </c>
      <c r="K23" s="2">
        <v>70</v>
      </c>
      <c r="L23" s="2">
        <v>80</v>
      </c>
      <c r="M23" s="2">
        <v>62</v>
      </c>
      <c r="N23" s="2" t="s">
        <v>218</v>
      </c>
      <c r="O23" s="2" t="s">
        <v>21</v>
      </c>
      <c r="P23" s="2">
        <v>442</v>
      </c>
      <c r="Q23" s="2">
        <v>73.66</v>
      </c>
      <c r="R23" s="2">
        <v>15</v>
      </c>
      <c r="S23" s="2" t="s">
        <v>19</v>
      </c>
      <c r="T23" s="2"/>
    </row>
    <row r="24" spans="1:20" x14ac:dyDescent="0.25">
      <c r="A24" s="1">
        <v>12</v>
      </c>
      <c r="B24" s="2" t="s">
        <v>217</v>
      </c>
      <c r="C24" s="2"/>
      <c r="D24" s="2" t="s">
        <v>43</v>
      </c>
      <c r="E24" s="12" t="s">
        <v>723</v>
      </c>
      <c r="F24" s="2"/>
      <c r="G24" s="2" t="s">
        <v>16</v>
      </c>
      <c r="H24" s="2">
        <v>66</v>
      </c>
      <c r="I24" s="2">
        <v>52</v>
      </c>
      <c r="J24" s="2">
        <v>73</v>
      </c>
      <c r="K24" s="2">
        <v>66</v>
      </c>
      <c r="L24" s="2">
        <v>80</v>
      </c>
      <c r="M24" s="2">
        <v>58</v>
      </c>
      <c r="N24" s="2" t="s">
        <v>218</v>
      </c>
      <c r="O24" s="2" t="s">
        <v>21</v>
      </c>
      <c r="P24" s="2">
        <v>395</v>
      </c>
      <c r="Q24" s="2">
        <v>65.83</v>
      </c>
      <c r="R24" s="2">
        <v>20</v>
      </c>
      <c r="S24" s="2" t="s">
        <v>20</v>
      </c>
      <c r="T24" s="2"/>
    </row>
    <row r="25" spans="1:20" x14ac:dyDescent="0.25">
      <c r="A25" s="1"/>
      <c r="B25" s="2"/>
      <c r="C25" s="2"/>
      <c r="D25" s="2"/>
      <c r="E25" s="2"/>
      <c r="F25" s="2"/>
      <c r="G25" s="2" t="s">
        <v>17</v>
      </c>
      <c r="H25" s="2">
        <v>68</v>
      </c>
      <c r="I25" s="2">
        <v>57</v>
      </c>
      <c r="J25" s="2">
        <v>56</v>
      </c>
      <c r="K25" s="2">
        <v>77</v>
      </c>
      <c r="L25" s="2">
        <v>59</v>
      </c>
      <c r="M25" s="2">
        <v>54</v>
      </c>
      <c r="N25" s="2" t="s">
        <v>19</v>
      </c>
      <c r="O25" s="2" t="s">
        <v>21</v>
      </c>
      <c r="P25" s="2">
        <v>371</v>
      </c>
      <c r="Q25" s="2">
        <v>61.83</v>
      </c>
      <c r="R25" s="2">
        <v>21</v>
      </c>
      <c r="S25" s="2" t="s">
        <v>353</v>
      </c>
      <c r="T25" s="2"/>
    </row>
    <row r="26" spans="1:20" x14ac:dyDescent="0.25">
      <c r="A26" s="1">
        <v>13</v>
      </c>
      <c r="B26" s="2" t="s">
        <v>219</v>
      </c>
      <c r="C26" s="2"/>
      <c r="D26" s="2" t="s">
        <v>42</v>
      </c>
      <c r="E26" s="2" t="s">
        <v>588</v>
      </c>
      <c r="F26" s="2"/>
      <c r="G26" s="2" t="s">
        <v>16</v>
      </c>
      <c r="H26" s="2">
        <v>87</v>
      </c>
      <c r="I26" s="2">
        <v>54</v>
      </c>
      <c r="J26" s="2">
        <v>67</v>
      </c>
      <c r="K26" s="2">
        <v>73</v>
      </c>
      <c r="L26" s="2">
        <v>84</v>
      </c>
      <c r="M26" s="2">
        <v>61</v>
      </c>
      <c r="N26" s="2" t="s">
        <v>92</v>
      </c>
      <c r="O26" s="2" t="s">
        <v>19</v>
      </c>
      <c r="P26" s="2">
        <v>426</v>
      </c>
      <c r="Q26" s="2">
        <v>71</v>
      </c>
      <c r="R26" s="2">
        <v>16</v>
      </c>
      <c r="S26" s="2" t="s">
        <v>20</v>
      </c>
      <c r="T26" s="2"/>
    </row>
    <row r="27" spans="1:20" x14ac:dyDescent="0.25">
      <c r="A27" s="1"/>
      <c r="B27" s="2"/>
      <c r="C27" s="2"/>
      <c r="D27" s="2"/>
      <c r="E27" s="2"/>
      <c r="F27" s="2"/>
      <c r="G27" s="2" t="s">
        <v>17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s="3">
        <v>14</v>
      </c>
      <c r="B28" s="4" t="s">
        <v>220</v>
      </c>
      <c r="C28" s="2"/>
      <c r="D28" s="4" t="s">
        <v>42</v>
      </c>
      <c r="E28" s="4" t="s">
        <v>589</v>
      </c>
      <c r="F28" s="4"/>
      <c r="G28" s="2" t="s">
        <v>16</v>
      </c>
      <c r="H28" s="2">
        <v>93</v>
      </c>
      <c r="I28" s="2">
        <v>75</v>
      </c>
      <c r="J28" s="2">
        <v>95</v>
      </c>
      <c r="K28" s="2">
        <v>91</v>
      </c>
      <c r="L28" s="2">
        <v>94</v>
      </c>
      <c r="M28" s="2">
        <v>96</v>
      </c>
      <c r="N28" s="2" t="s">
        <v>92</v>
      </c>
      <c r="O28" s="2" t="s">
        <v>19</v>
      </c>
      <c r="P28" s="2">
        <v>544</v>
      </c>
      <c r="Q28" s="2">
        <v>90.66</v>
      </c>
      <c r="R28" s="2">
        <v>3</v>
      </c>
      <c r="S28" s="4" t="s">
        <v>20</v>
      </c>
      <c r="T28" s="4"/>
    </row>
    <row r="29" spans="1:20" x14ac:dyDescent="0.25">
      <c r="A29" s="1"/>
      <c r="B29" s="2"/>
      <c r="C29" s="2"/>
      <c r="D29" s="2"/>
      <c r="E29" s="2"/>
      <c r="F29" s="2"/>
      <c r="G29" s="2" t="s">
        <v>17</v>
      </c>
      <c r="H29" s="2">
        <v>92</v>
      </c>
      <c r="I29" s="2">
        <v>80</v>
      </c>
      <c r="J29" s="2">
        <v>90</v>
      </c>
      <c r="K29" s="2">
        <v>89</v>
      </c>
      <c r="L29" s="2">
        <v>99</v>
      </c>
      <c r="M29" s="2">
        <v>98</v>
      </c>
      <c r="N29" s="2" t="s">
        <v>20</v>
      </c>
      <c r="O29" s="2" t="s">
        <v>21</v>
      </c>
      <c r="P29" s="2">
        <v>548</v>
      </c>
      <c r="Q29" s="2">
        <v>91.33</v>
      </c>
      <c r="R29" s="2">
        <v>3</v>
      </c>
      <c r="S29" s="2" t="s">
        <v>19</v>
      </c>
      <c r="T29" s="2"/>
    </row>
    <row r="30" spans="1:20" x14ac:dyDescent="0.25">
      <c r="A30" s="1">
        <v>15</v>
      </c>
      <c r="B30" s="2" t="s">
        <v>374</v>
      </c>
      <c r="C30" s="2"/>
      <c r="D30" s="2" t="s">
        <v>43</v>
      </c>
      <c r="E30" s="2" t="s">
        <v>590</v>
      </c>
      <c r="F30" s="2"/>
      <c r="G30" s="2" t="s">
        <v>16</v>
      </c>
      <c r="H30" s="2">
        <v>54</v>
      </c>
      <c r="I30" s="2">
        <v>55</v>
      </c>
      <c r="J30" s="2">
        <v>54</v>
      </c>
      <c r="K30" s="2">
        <v>68</v>
      </c>
      <c r="L30" s="2">
        <v>77</v>
      </c>
      <c r="M30" s="2">
        <v>46</v>
      </c>
      <c r="N30" s="2" t="s">
        <v>19</v>
      </c>
      <c r="O30" s="2" t="s">
        <v>21</v>
      </c>
      <c r="P30" s="2">
        <v>354</v>
      </c>
      <c r="Q30" s="2">
        <v>59</v>
      </c>
      <c r="R30" s="2">
        <v>22</v>
      </c>
      <c r="S30" s="2" t="s">
        <v>20</v>
      </c>
      <c r="T30" s="2"/>
    </row>
    <row r="31" spans="1:20" x14ac:dyDescent="0.25">
      <c r="A31" s="1"/>
      <c r="B31" s="2"/>
      <c r="C31" s="2"/>
      <c r="D31" s="2"/>
      <c r="E31" s="2"/>
      <c r="F31" s="2"/>
      <c r="G31" s="2" t="s">
        <v>17</v>
      </c>
      <c r="H31" s="2">
        <v>74</v>
      </c>
      <c r="I31" s="2">
        <v>65</v>
      </c>
      <c r="J31" s="2">
        <v>53</v>
      </c>
      <c r="K31" s="2">
        <v>75</v>
      </c>
      <c r="L31" s="2">
        <v>82</v>
      </c>
      <c r="M31" s="2">
        <v>47</v>
      </c>
      <c r="N31" s="2" t="s">
        <v>19</v>
      </c>
      <c r="O31" s="2" t="s">
        <v>21</v>
      </c>
      <c r="P31" s="2">
        <v>396</v>
      </c>
      <c r="Q31" s="2">
        <v>66</v>
      </c>
      <c r="R31" s="2">
        <v>17</v>
      </c>
      <c r="S31" s="2" t="s">
        <v>20</v>
      </c>
      <c r="T31" s="2"/>
    </row>
    <row r="32" spans="1:20" x14ac:dyDescent="0.25">
      <c r="A32" s="1">
        <v>16</v>
      </c>
      <c r="B32" s="2" t="s">
        <v>221</v>
      </c>
      <c r="C32" s="2"/>
      <c r="D32" s="2"/>
      <c r="E32" s="2" t="s">
        <v>591</v>
      </c>
      <c r="F32" s="2"/>
      <c r="G32" s="2" t="s">
        <v>16</v>
      </c>
      <c r="H32" s="2">
        <v>83</v>
      </c>
      <c r="I32" s="2">
        <v>58</v>
      </c>
      <c r="J32" s="2">
        <v>57</v>
      </c>
      <c r="K32" s="2">
        <v>86</v>
      </c>
      <c r="L32" s="2">
        <v>86</v>
      </c>
      <c r="M32" s="2">
        <v>79</v>
      </c>
      <c r="N32" s="2" t="s">
        <v>92</v>
      </c>
      <c r="O32" s="2" t="s">
        <v>21</v>
      </c>
      <c r="P32" s="2">
        <v>449</v>
      </c>
      <c r="Q32" s="2">
        <v>74.83</v>
      </c>
      <c r="R32" s="2">
        <v>15</v>
      </c>
      <c r="S32" s="2" t="s">
        <v>20</v>
      </c>
      <c r="T32" s="2"/>
    </row>
    <row r="33" spans="1:20" x14ac:dyDescent="0.25">
      <c r="A33" s="1"/>
      <c r="B33" s="2"/>
      <c r="C33" s="2"/>
      <c r="D33" s="2"/>
      <c r="E33" s="2"/>
      <c r="F33" s="2"/>
      <c r="G33" s="2" t="s">
        <v>17</v>
      </c>
      <c r="H33" s="2">
        <v>84</v>
      </c>
      <c r="I33" s="2">
        <v>73</v>
      </c>
      <c r="J33" s="2">
        <v>61</v>
      </c>
      <c r="K33" s="2">
        <v>74</v>
      </c>
      <c r="L33" s="2">
        <v>74</v>
      </c>
      <c r="M33" s="2">
        <v>83</v>
      </c>
      <c r="N33" s="2" t="s">
        <v>19</v>
      </c>
      <c r="O33" s="2" t="s">
        <v>20</v>
      </c>
      <c r="P33" s="2">
        <v>449</v>
      </c>
      <c r="Q33" s="2">
        <v>74.83</v>
      </c>
      <c r="R33" s="2">
        <v>13</v>
      </c>
      <c r="S33" s="2" t="s">
        <v>20</v>
      </c>
      <c r="T33" s="2"/>
    </row>
    <row r="34" spans="1:20" x14ac:dyDescent="0.25">
      <c r="A34" s="1">
        <v>17</v>
      </c>
      <c r="B34" s="9" t="s">
        <v>222</v>
      </c>
      <c r="C34" s="2"/>
      <c r="D34" s="2" t="s">
        <v>42</v>
      </c>
      <c r="E34" s="2" t="s">
        <v>592</v>
      </c>
      <c r="F34" s="2"/>
      <c r="G34" s="2" t="s">
        <v>16</v>
      </c>
      <c r="H34" s="2">
        <v>81</v>
      </c>
      <c r="I34" s="2">
        <v>75</v>
      </c>
      <c r="J34" s="2">
        <v>71</v>
      </c>
      <c r="K34" s="2">
        <v>70</v>
      </c>
      <c r="L34" s="2">
        <v>96</v>
      </c>
      <c r="M34" s="2">
        <v>68</v>
      </c>
      <c r="N34" s="2" t="s">
        <v>92</v>
      </c>
      <c r="O34" s="2" t="s">
        <v>19</v>
      </c>
      <c r="P34" s="2">
        <v>461</v>
      </c>
      <c r="Q34" s="2">
        <v>76.83</v>
      </c>
      <c r="R34" s="2">
        <v>12</v>
      </c>
      <c r="S34" s="2" t="s">
        <v>20</v>
      </c>
      <c r="T34" s="2"/>
    </row>
    <row r="35" spans="1:20" x14ac:dyDescent="0.25">
      <c r="A35" s="1"/>
      <c r="B35" s="2"/>
      <c r="C35" s="2"/>
      <c r="D35" s="2"/>
      <c r="E35" s="2"/>
      <c r="F35" s="2"/>
      <c r="G35" s="2" t="s">
        <v>17</v>
      </c>
      <c r="H35" s="2">
        <v>84</v>
      </c>
      <c r="I35" s="2">
        <v>83</v>
      </c>
      <c r="J35" s="2">
        <v>68</v>
      </c>
      <c r="K35" s="2">
        <v>70</v>
      </c>
      <c r="L35" s="2">
        <v>79</v>
      </c>
      <c r="M35" s="2">
        <v>80</v>
      </c>
      <c r="N35" s="2" t="s">
        <v>19</v>
      </c>
      <c r="O35" s="2" t="s">
        <v>19</v>
      </c>
      <c r="P35" s="2">
        <v>464</v>
      </c>
      <c r="Q35" s="2">
        <v>77.33</v>
      </c>
      <c r="R35" s="2">
        <v>10</v>
      </c>
      <c r="S35" s="2" t="s">
        <v>20</v>
      </c>
      <c r="T35" s="2"/>
    </row>
    <row r="36" spans="1:20" x14ac:dyDescent="0.25">
      <c r="A36" s="1">
        <v>18</v>
      </c>
      <c r="B36" s="2" t="s">
        <v>223</v>
      </c>
      <c r="C36" s="2"/>
      <c r="D36" s="2" t="s">
        <v>42</v>
      </c>
      <c r="E36" s="2" t="s">
        <v>593</v>
      </c>
      <c r="F36" s="2"/>
      <c r="G36" s="2" t="s">
        <v>16</v>
      </c>
      <c r="H36" s="2">
        <v>89</v>
      </c>
      <c r="I36" s="2">
        <v>69</v>
      </c>
      <c r="J36" s="2">
        <v>86</v>
      </c>
      <c r="K36" s="2">
        <v>71</v>
      </c>
      <c r="L36" s="2">
        <v>95</v>
      </c>
      <c r="M36" s="2">
        <v>84</v>
      </c>
      <c r="N36" s="2" t="s">
        <v>20</v>
      </c>
      <c r="O36" s="2" t="s">
        <v>21</v>
      </c>
      <c r="P36" s="2">
        <v>494</v>
      </c>
      <c r="Q36" s="2">
        <v>82.33</v>
      </c>
      <c r="R36" s="2">
        <v>7</v>
      </c>
      <c r="S36" s="2" t="s">
        <v>20</v>
      </c>
      <c r="T36" s="2"/>
    </row>
    <row r="37" spans="1:20" x14ac:dyDescent="0.25">
      <c r="A37" s="1"/>
      <c r="B37" s="2"/>
      <c r="C37" s="2"/>
      <c r="D37" s="2"/>
      <c r="E37" s="2"/>
      <c r="F37" s="2"/>
      <c r="G37" s="2" t="s">
        <v>17</v>
      </c>
      <c r="H37" s="2">
        <v>77</v>
      </c>
      <c r="I37" s="2">
        <v>72</v>
      </c>
      <c r="J37" s="2">
        <v>82</v>
      </c>
      <c r="K37" s="2">
        <v>80</v>
      </c>
      <c r="L37" s="2">
        <v>83</v>
      </c>
      <c r="M37" s="2">
        <v>79</v>
      </c>
      <c r="N37" s="2" t="s">
        <v>20</v>
      </c>
      <c r="O37" s="2" t="s">
        <v>21</v>
      </c>
      <c r="P37" s="2">
        <v>473</v>
      </c>
      <c r="Q37" s="2">
        <v>78.83</v>
      </c>
      <c r="R37" s="2">
        <v>9</v>
      </c>
      <c r="S37" s="2" t="s">
        <v>19</v>
      </c>
      <c r="T37" s="2"/>
    </row>
    <row r="38" spans="1:20" x14ac:dyDescent="0.25">
      <c r="A38" s="1">
        <v>19</v>
      </c>
      <c r="B38" s="2" t="s">
        <v>224</v>
      </c>
      <c r="C38" s="2"/>
      <c r="D38" s="2" t="s">
        <v>43</v>
      </c>
      <c r="E38" s="2" t="s">
        <v>594</v>
      </c>
      <c r="F38" s="2"/>
      <c r="G38" s="2" t="s">
        <v>16</v>
      </c>
      <c r="H38" s="2">
        <v>83</v>
      </c>
      <c r="I38" s="2">
        <v>72</v>
      </c>
      <c r="J38" s="2">
        <v>87</v>
      </c>
      <c r="K38" s="2">
        <v>73</v>
      </c>
      <c r="L38" s="2">
        <v>98</v>
      </c>
      <c r="M38" s="2">
        <v>90</v>
      </c>
      <c r="N38" s="2" t="s">
        <v>92</v>
      </c>
      <c r="O38" s="2" t="s">
        <v>19</v>
      </c>
      <c r="P38" s="2">
        <v>503</v>
      </c>
      <c r="Q38" s="2">
        <v>83.83</v>
      </c>
      <c r="R38" s="2">
        <v>6</v>
      </c>
      <c r="S38" s="2" t="s">
        <v>19</v>
      </c>
      <c r="T38" s="2"/>
    </row>
    <row r="39" spans="1:20" x14ac:dyDescent="0.25">
      <c r="A39" s="1"/>
      <c r="B39" s="2"/>
      <c r="C39" s="2"/>
      <c r="D39" s="2"/>
      <c r="E39" s="2"/>
      <c r="F39" s="2"/>
      <c r="G39" s="2" t="s">
        <v>17</v>
      </c>
      <c r="H39" s="2">
        <v>91</v>
      </c>
      <c r="I39" s="2">
        <v>73</v>
      </c>
      <c r="J39" s="2">
        <v>89</v>
      </c>
      <c r="K39" s="2">
        <v>81</v>
      </c>
      <c r="L39" s="2">
        <v>98</v>
      </c>
      <c r="M39" s="2">
        <v>83</v>
      </c>
      <c r="N39" s="2" t="s">
        <v>19</v>
      </c>
      <c r="O39" s="2" t="s">
        <v>21</v>
      </c>
      <c r="P39" s="2">
        <v>515</v>
      </c>
      <c r="Q39" s="2">
        <v>85.83</v>
      </c>
      <c r="R39" s="2">
        <v>6</v>
      </c>
      <c r="S39" s="2" t="s">
        <v>19</v>
      </c>
      <c r="T39" s="2"/>
    </row>
    <row r="40" spans="1:20" x14ac:dyDescent="0.25">
      <c r="A40" s="1">
        <v>20</v>
      </c>
      <c r="B40" s="2" t="s">
        <v>225</v>
      </c>
      <c r="C40" s="2"/>
      <c r="D40" s="2" t="s">
        <v>42</v>
      </c>
      <c r="E40" s="12" t="s">
        <v>724</v>
      </c>
      <c r="F40" s="2"/>
      <c r="G40" s="2" t="s">
        <v>16</v>
      </c>
      <c r="H40" s="2">
        <v>74</v>
      </c>
      <c r="I40" s="2">
        <v>56</v>
      </c>
      <c r="J40" s="2">
        <v>80</v>
      </c>
      <c r="K40" s="2">
        <v>77</v>
      </c>
      <c r="L40" s="2">
        <v>87</v>
      </c>
      <c r="M40" s="2">
        <v>82</v>
      </c>
      <c r="N40" s="2" t="s">
        <v>92</v>
      </c>
      <c r="O40" s="2" t="s">
        <v>21</v>
      </c>
      <c r="P40" s="2">
        <v>456</v>
      </c>
      <c r="Q40" s="2">
        <v>76</v>
      </c>
      <c r="R40" s="2">
        <v>13</v>
      </c>
      <c r="S40" s="2" t="s">
        <v>20</v>
      </c>
      <c r="T40" s="2"/>
    </row>
    <row r="41" spans="1:20" x14ac:dyDescent="0.25">
      <c r="A41" s="1"/>
      <c r="B41" s="2"/>
      <c r="C41" s="2"/>
      <c r="D41" s="2"/>
      <c r="E41" s="2"/>
      <c r="F41" s="2"/>
      <c r="G41" s="2" t="s">
        <v>17</v>
      </c>
      <c r="H41" s="2">
        <v>74</v>
      </c>
      <c r="I41" s="2">
        <v>66</v>
      </c>
      <c r="J41" s="2">
        <v>75</v>
      </c>
      <c r="K41" s="2">
        <v>82</v>
      </c>
      <c r="L41" s="2">
        <v>94</v>
      </c>
      <c r="M41" s="2">
        <v>72</v>
      </c>
      <c r="N41" s="2" t="s">
        <v>19</v>
      </c>
      <c r="O41" s="2" t="s">
        <v>21</v>
      </c>
      <c r="P41" s="2">
        <v>463</v>
      </c>
      <c r="Q41" s="2">
        <v>77.16</v>
      </c>
      <c r="R41" s="2">
        <v>11</v>
      </c>
      <c r="S41" s="2" t="s">
        <v>20</v>
      </c>
      <c r="T41" s="2"/>
    </row>
    <row r="42" spans="1:20" x14ac:dyDescent="0.25">
      <c r="A42" s="1">
        <v>21</v>
      </c>
      <c r="B42" s="2" t="s">
        <v>226</v>
      </c>
      <c r="C42" s="2"/>
      <c r="D42" s="2" t="s">
        <v>43</v>
      </c>
      <c r="E42" s="2" t="s">
        <v>595</v>
      </c>
      <c r="F42" s="2"/>
      <c r="G42" s="2" t="s">
        <v>16</v>
      </c>
      <c r="H42" s="2">
        <v>84</v>
      </c>
      <c r="I42" s="2">
        <v>43</v>
      </c>
      <c r="J42" s="2">
        <v>69</v>
      </c>
      <c r="K42" s="2">
        <v>49</v>
      </c>
      <c r="L42" s="2">
        <v>66</v>
      </c>
      <c r="M42" s="2">
        <v>56</v>
      </c>
      <c r="N42" s="2" t="s">
        <v>20</v>
      </c>
      <c r="O42" s="2" t="s">
        <v>21</v>
      </c>
      <c r="P42" s="2">
        <v>367</v>
      </c>
      <c r="Q42" s="2">
        <v>61.16</v>
      </c>
      <c r="R42" s="2">
        <v>21</v>
      </c>
      <c r="S42" s="2" t="s">
        <v>19</v>
      </c>
      <c r="T42" s="2"/>
    </row>
    <row r="43" spans="1:20" x14ac:dyDescent="0.25">
      <c r="A43" s="1"/>
      <c r="B43" s="2"/>
      <c r="C43" s="2"/>
      <c r="D43" s="2"/>
      <c r="E43" s="2"/>
      <c r="F43" s="2"/>
      <c r="G43" s="2" t="s">
        <v>17</v>
      </c>
      <c r="H43" s="2">
        <v>57</v>
      </c>
      <c r="I43" s="2">
        <v>47</v>
      </c>
      <c r="J43" s="2">
        <v>55</v>
      </c>
      <c r="K43" s="2">
        <v>68</v>
      </c>
      <c r="L43" s="2">
        <v>58</v>
      </c>
      <c r="M43" s="2">
        <v>47</v>
      </c>
      <c r="N43" s="2" t="s">
        <v>19</v>
      </c>
      <c r="O43" s="2" t="s">
        <v>21</v>
      </c>
      <c r="P43" s="2">
        <v>332</v>
      </c>
      <c r="Q43" s="2">
        <v>55.33</v>
      </c>
      <c r="R43" s="2">
        <v>22</v>
      </c>
      <c r="S43" s="2" t="s">
        <v>21</v>
      </c>
      <c r="T43" s="2"/>
    </row>
    <row r="44" spans="1:20" x14ac:dyDescent="0.25">
      <c r="A44" s="1">
        <v>22</v>
      </c>
      <c r="B44" s="2" t="s">
        <v>227</v>
      </c>
      <c r="C44" s="2"/>
      <c r="D44" s="2" t="s">
        <v>42</v>
      </c>
      <c r="E44" s="2" t="s">
        <v>596</v>
      </c>
      <c r="F44" s="2"/>
      <c r="G44" s="2" t="s">
        <v>16</v>
      </c>
      <c r="H44" s="2">
        <v>94</v>
      </c>
      <c r="I44" s="2">
        <v>93</v>
      </c>
      <c r="J44" s="2">
        <v>96</v>
      </c>
      <c r="K44" s="2">
        <v>96</v>
      </c>
      <c r="L44" s="2">
        <v>99</v>
      </c>
      <c r="M44" s="2">
        <v>91</v>
      </c>
      <c r="N44" s="2" t="s">
        <v>20</v>
      </c>
      <c r="O44" s="2" t="s">
        <v>20</v>
      </c>
      <c r="P44" s="2">
        <v>569</v>
      </c>
      <c r="Q44" s="2">
        <v>94.83</v>
      </c>
      <c r="R44" s="2">
        <v>1</v>
      </c>
      <c r="S44" s="2" t="s">
        <v>20</v>
      </c>
      <c r="T44" s="2"/>
    </row>
    <row r="45" spans="1:20" x14ac:dyDescent="0.25">
      <c r="A45" s="1"/>
      <c r="B45" s="2"/>
      <c r="C45" s="2"/>
      <c r="D45" s="2"/>
      <c r="E45" s="2"/>
      <c r="F45" s="2"/>
      <c r="G45" s="2" t="s">
        <v>17</v>
      </c>
      <c r="H45" s="2">
        <v>93</v>
      </c>
      <c r="I45" s="2">
        <v>92</v>
      </c>
      <c r="J45" s="2">
        <v>99</v>
      </c>
      <c r="K45" s="2">
        <v>90</v>
      </c>
      <c r="L45" s="2">
        <v>92</v>
      </c>
      <c r="M45" s="2">
        <v>94</v>
      </c>
      <c r="N45" s="2" t="s">
        <v>20</v>
      </c>
      <c r="O45" s="2" t="s">
        <v>20</v>
      </c>
      <c r="P45" s="2">
        <v>560</v>
      </c>
      <c r="Q45" s="2">
        <v>93.33</v>
      </c>
      <c r="R45" s="2">
        <v>2</v>
      </c>
      <c r="S45" s="2" t="s">
        <v>20</v>
      </c>
      <c r="T45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W49"/>
  <sheetViews>
    <sheetView topLeftCell="D21" zoomScale="76" zoomScaleNormal="76" zoomScalePageLayoutView="76" workbookViewId="0">
      <selection activeCell="U38" sqref="U38"/>
    </sheetView>
  </sheetViews>
  <sheetFormatPr defaultColWidth="11.125" defaultRowHeight="15.75" x14ac:dyDescent="0.25"/>
  <cols>
    <col min="1" max="1" width="7.5" customWidth="1"/>
    <col min="2" max="2" width="25.625" customWidth="1"/>
    <col min="3" max="3" width="9.625" bestFit="1" customWidth="1"/>
    <col min="4" max="4" width="8.5" customWidth="1"/>
    <col min="5" max="5" width="10.5" bestFit="1" customWidth="1"/>
    <col min="6" max="6" width="8.5" customWidth="1"/>
  </cols>
  <sheetData>
    <row r="1" spans="1:23" ht="91.5" x14ac:dyDescent="0.25">
      <c r="A1" s="5" t="s">
        <v>0</v>
      </c>
      <c r="B1" s="6" t="s">
        <v>391</v>
      </c>
      <c r="C1" s="6" t="s">
        <v>3</v>
      </c>
      <c r="D1" s="6" t="s">
        <v>2</v>
      </c>
      <c r="E1" s="6" t="s">
        <v>383</v>
      </c>
      <c r="F1" s="6" t="s">
        <v>384</v>
      </c>
      <c r="G1" s="6" t="s">
        <v>385</v>
      </c>
      <c r="H1" s="6" t="s">
        <v>5</v>
      </c>
      <c r="I1" s="6" t="s">
        <v>6</v>
      </c>
      <c r="J1" s="6" t="s">
        <v>7</v>
      </c>
      <c r="K1" s="6" t="s">
        <v>228</v>
      </c>
      <c r="L1" s="6" t="s">
        <v>229</v>
      </c>
      <c r="M1" s="6" t="s">
        <v>230</v>
      </c>
      <c r="N1" s="6" t="s">
        <v>8</v>
      </c>
      <c r="O1" s="6" t="s">
        <v>167</v>
      </c>
      <c r="P1" s="6" t="s">
        <v>9</v>
      </c>
      <c r="Q1" s="6" t="s">
        <v>737</v>
      </c>
      <c r="R1" s="6" t="s">
        <v>10</v>
      </c>
      <c r="S1" s="6" t="s">
        <v>11</v>
      </c>
      <c r="T1" s="6" t="s">
        <v>12</v>
      </c>
      <c r="U1" s="6" t="s">
        <v>13</v>
      </c>
      <c r="V1" s="6" t="s">
        <v>14</v>
      </c>
      <c r="W1" s="7"/>
    </row>
    <row r="2" spans="1:23" x14ac:dyDescent="0.25">
      <c r="A2" s="1">
        <v>1</v>
      </c>
      <c r="B2" s="2" t="s">
        <v>231</v>
      </c>
      <c r="C2" s="2">
        <v>12</v>
      </c>
      <c r="D2" s="2" t="s">
        <v>42</v>
      </c>
      <c r="E2" s="13" t="s">
        <v>597</v>
      </c>
      <c r="F2" s="2"/>
      <c r="G2" s="2" t="s">
        <v>16</v>
      </c>
      <c r="H2" s="2">
        <v>85</v>
      </c>
      <c r="I2" s="2">
        <v>60</v>
      </c>
      <c r="J2" s="2">
        <v>62</v>
      </c>
      <c r="K2" s="2">
        <v>59</v>
      </c>
      <c r="L2" s="2">
        <v>71</v>
      </c>
      <c r="M2" s="2">
        <v>69</v>
      </c>
      <c r="N2" s="2">
        <v>79</v>
      </c>
      <c r="O2" s="2">
        <v>78</v>
      </c>
      <c r="P2" s="2" t="s">
        <v>19</v>
      </c>
      <c r="Q2" s="2" t="s">
        <v>20</v>
      </c>
      <c r="R2" s="2">
        <v>563</v>
      </c>
      <c r="S2" s="2">
        <v>70.37</v>
      </c>
      <c r="T2" s="2">
        <v>15</v>
      </c>
      <c r="U2" s="2" t="s">
        <v>20</v>
      </c>
      <c r="V2" s="2"/>
    </row>
    <row r="3" spans="1:23" x14ac:dyDescent="0.25">
      <c r="A3" s="1"/>
      <c r="B3" s="2"/>
      <c r="C3" s="2"/>
      <c r="D3" s="2"/>
      <c r="E3" s="2"/>
      <c r="F3" s="2"/>
      <c r="G3" s="2" t="s">
        <v>17</v>
      </c>
      <c r="H3" s="2">
        <v>70</v>
      </c>
      <c r="I3" s="2">
        <v>52</v>
      </c>
      <c r="J3" s="2">
        <v>55</v>
      </c>
      <c r="K3" s="2">
        <v>49</v>
      </c>
      <c r="L3" s="2">
        <v>73</v>
      </c>
      <c r="M3" s="2">
        <v>71</v>
      </c>
      <c r="N3" s="2">
        <v>73</v>
      </c>
      <c r="O3" s="2">
        <v>76</v>
      </c>
      <c r="P3" s="2"/>
      <c r="Q3" s="2" t="s">
        <v>20</v>
      </c>
      <c r="R3" s="2">
        <v>519</v>
      </c>
      <c r="S3" s="2">
        <v>64.87</v>
      </c>
      <c r="T3" s="2">
        <v>16</v>
      </c>
      <c r="U3" s="2" t="s">
        <v>20</v>
      </c>
      <c r="V3" s="2"/>
    </row>
    <row r="4" spans="1:23" x14ac:dyDescent="0.25">
      <c r="A4" s="1">
        <v>2</v>
      </c>
      <c r="B4" s="9" t="s">
        <v>232</v>
      </c>
      <c r="C4" s="2">
        <v>12</v>
      </c>
      <c r="D4" s="2" t="s">
        <v>43</v>
      </c>
      <c r="E4" s="2" t="s">
        <v>598</v>
      </c>
      <c r="F4" s="2"/>
      <c r="G4" s="2" t="s">
        <v>16</v>
      </c>
      <c r="H4" s="2">
        <v>81</v>
      </c>
      <c r="I4" s="2">
        <v>58</v>
      </c>
      <c r="J4" s="2">
        <v>62</v>
      </c>
      <c r="K4" s="2">
        <v>61</v>
      </c>
      <c r="L4" s="2">
        <v>76</v>
      </c>
      <c r="M4" s="2">
        <v>75</v>
      </c>
      <c r="N4" s="2">
        <v>73</v>
      </c>
      <c r="O4" s="2">
        <v>72</v>
      </c>
      <c r="P4" s="2" t="s">
        <v>21</v>
      </c>
      <c r="Q4" s="2" t="s">
        <v>20</v>
      </c>
      <c r="R4" s="2">
        <v>558</v>
      </c>
      <c r="S4" s="2">
        <v>69.75</v>
      </c>
      <c r="T4" s="2">
        <v>19</v>
      </c>
      <c r="U4" s="2" t="s">
        <v>19</v>
      </c>
      <c r="V4" s="2"/>
    </row>
    <row r="5" spans="1:23" x14ac:dyDescent="0.25">
      <c r="A5" s="1"/>
      <c r="B5" s="2"/>
      <c r="C5" s="2"/>
      <c r="D5" s="2"/>
      <c r="E5" s="2"/>
      <c r="F5" s="2"/>
      <c r="G5" s="2" t="s">
        <v>17</v>
      </c>
      <c r="H5" s="2">
        <v>44</v>
      </c>
      <c r="I5" s="2">
        <v>57</v>
      </c>
      <c r="J5" s="2">
        <v>60</v>
      </c>
      <c r="K5" s="2">
        <v>46</v>
      </c>
      <c r="L5" s="2">
        <v>69</v>
      </c>
      <c r="M5" s="2">
        <v>71</v>
      </c>
      <c r="N5" s="2">
        <v>73</v>
      </c>
      <c r="O5" s="2">
        <v>76</v>
      </c>
      <c r="P5" s="2"/>
      <c r="Q5" s="2" t="s">
        <v>20</v>
      </c>
      <c r="R5" s="2">
        <v>500</v>
      </c>
      <c r="S5" s="2">
        <v>62.5</v>
      </c>
      <c r="T5" s="2">
        <v>20</v>
      </c>
      <c r="U5" s="2" t="s">
        <v>21</v>
      </c>
      <c r="V5" s="2"/>
    </row>
    <row r="6" spans="1:23" x14ac:dyDescent="0.25">
      <c r="A6" s="1">
        <v>3</v>
      </c>
      <c r="B6" s="2" t="s">
        <v>233</v>
      </c>
      <c r="C6" s="2">
        <v>13</v>
      </c>
      <c r="D6" s="2" t="s">
        <v>42</v>
      </c>
      <c r="E6" s="2" t="s">
        <v>599</v>
      </c>
      <c r="F6" s="2"/>
      <c r="G6" s="2" t="s">
        <v>16</v>
      </c>
      <c r="H6" s="2">
        <v>90</v>
      </c>
      <c r="I6" s="2">
        <v>57</v>
      </c>
      <c r="J6" s="2">
        <v>59</v>
      </c>
      <c r="K6" s="2">
        <v>35</v>
      </c>
      <c r="L6" s="2">
        <v>82</v>
      </c>
      <c r="M6" s="2">
        <v>80</v>
      </c>
      <c r="N6" s="2">
        <v>72</v>
      </c>
      <c r="O6" s="2">
        <v>73</v>
      </c>
      <c r="P6" s="2" t="s">
        <v>21</v>
      </c>
      <c r="Q6" s="2" t="s">
        <v>20</v>
      </c>
      <c r="R6" s="2">
        <v>548</v>
      </c>
      <c r="S6" s="2">
        <v>68.5</v>
      </c>
      <c r="T6" s="2">
        <v>19</v>
      </c>
      <c r="U6" s="2" t="s">
        <v>20</v>
      </c>
      <c r="V6" s="2"/>
    </row>
    <row r="7" spans="1:23" x14ac:dyDescent="0.25">
      <c r="A7" s="1"/>
      <c r="B7" s="2"/>
      <c r="C7" s="2"/>
      <c r="D7" s="2"/>
      <c r="E7" s="2"/>
      <c r="F7" s="2"/>
      <c r="G7" s="2" t="s">
        <v>17</v>
      </c>
      <c r="H7" s="2">
        <v>73</v>
      </c>
      <c r="I7" s="2">
        <v>52</v>
      </c>
      <c r="J7" s="2">
        <v>72</v>
      </c>
      <c r="K7" s="2">
        <v>44</v>
      </c>
      <c r="L7" s="2">
        <v>61</v>
      </c>
      <c r="M7" s="2">
        <v>77</v>
      </c>
      <c r="N7" s="2">
        <v>64</v>
      </c>
      <c r="O7" s="2">
        <v>94</v>
      </c>
      <c r="P7" s="2"/>
      <c r="Q7" s="2" t="s">
        <v>20</v>
      </c>
      <c r="R7" s="2">
        <v>537</v>
      </c>
      <c r="S7" s="2">
        <v>67.099999999999994</v>
      </c>
      <c r="T7" s="2">
        <v>15</v>
      </c>
      <c r="U7" s="2" t="s">
        <v>20</v>
      </c>
      <c r="V7" s="2"/>
    </row>
    <row r="8" spans="1:23" x14ac:dyDescent="0.25">
      <c r="A8" s="1">
        <v>4</v>
      </c>
      <c r="B8" s="2" t="s">
        <v>234</v>
      </c>
      <c r="C8" s="2">
        <v>12</v>
      </c>
      <c r="D8" s="2" t="s">
        <v>42</v>
      </c>
      <c r="E8" s="2" t="s">
        <v>600</v>
      </c>
      <c r="F8" s="2"/>
      <c r="G8" s="2" t="s">
        <v>16</v>
      </c>
      <c r="H8" s="2">
        <v>83</v>
      </c>
      <c r="I8" s="2">
        <v>56</v>
      </c>
      <c r="J8" s="2">
        <v>69</v>
      </c>
      <c r="K8" s="2">
        <v>67</v>
      </c>
      <c r="L8" s="2">
        <v>84</v>
      </c>
      <c r="M8" s="2">
        <v>70</v>
      </c>
      <c r="N8" s="2">
        <v>95</v>
      </c>
      <c r="O8" s="2">
        <v>73</v>
      </c>
      <c r="P8" s="2" t="s">
        <v>19</v>
      </c>
      <c r="Q8" s="2" t="s">
        <v>20</v>
      </c>
      <c r="R8" s="2">
        <v>597</v>
      </c>
      <c r="S8" s="2">
        <v>74.62</v>
      </c>
      <c r="T8" s="2">
        <v>13</v>
      </c>
      <c r="U8" s="2" t="s">
        <v>20</v>
      </c>
      <c r="V8" s="2"/>
    </row>
    <row r="9" spans="1:23" x14ac:dyDescent="0.25">
      <c r="A9" s="1"/>
      <c r="B9" s="2"/>
      <c r="C9" s="2"/>
      <c r="D9" s="2"/>
      <c r="E9" s="2"/>
      <c r="F9" s="2"/>
      <c r="G9" s="2" t="s">
        <v>17</v>
      </c>
      <c r="H9" s="2">
        <v>73</v>
      </c>
      <c r="I9" s="2">
        <v>61</v>
      </c>
      <c r="J9" s="2">
        <v>68</v>
      </c>
      <c r="K9" s="2">
        <v>54</v>
      </c>
      <c r="L9" s="2">
        <v>80</v>
      </c>
      <c r="M9" s="2">
        <v>74</v>
      </c>
      <c r="N9" s="2">
        <v>84</v>
      </c>
      <c r="O9" s="2">
        <v>90</v>
      </c>
      <c r="P9" s="2"/>
      <c r="Q9" s="2" t="s">
        <v>20</v>
      </c>
      <c r="R9" s="2">
        <v>584</v>
      </c>
      <c r="S9" s="2">
        <v>73</v>
      </c>
      <c r="T9" s="2">
        <v>13</v>
      </c>
      <c r="U9" s="2" t="s">
        <v>20</v>
      </c>
      <c r="V9" s="2"/>
    </row>
    <row r="10" spans="1:23" x14ac:dyDescent="0.25">
      <c r="A10" s="1">
        <v>5</v>
      </c>
      <c r="B10" s="2" t="s">
        <v>235</v>
      </c>
      <c r="C10" s="2">
        <v>13</v>
      </c>
      <c r="D10" s="2" t="s">
        <v>42</v>
      </c>
      <c r="E10" s="12" t="s">
        <v>725</v>
      </c>
      <c r="F10" s="2"/>
      <c r="G10" s="2" t="s">
        <v>16</v>
      </c>
      <c r="H10" s="2">
        <v>96</v>
      </c>
      <c r="I10" s="2">
        <v>80</v>
      </c>
      <c r="J10" s="2">
        <v>90</v>
      </c>
      <c r="K10" s="2">
        <v>82</v>
      </c>
      <c r="L10" s="2">
        <v>100</v>
      </c>
      <c r="M10" s="2">
        <v>77</v>
      </c>
      <c r="N10" s="2">
        <v>98</v>
      </c>
      <c r="O10" s="2">
        <v>90</v>
      </c>
      <c r="P10" s="2" t="s">
        <v>20</v>
      </c>
      <c r="Q10" s="2" t="s">
        <v>20</v>
      </c>
      <c r="R10" s="2">
        <v>713</v>
      </c>
      <c r="S10" s="2">
        <v>89.12</v>
      </c>
      <c r="T10" s="2">
        <v>9</v>
      </c>
      <c r="U10" s="2" t="s">
        <v>20</v>
      </c>
      <c r="V10" s="2"/>
    </row>
    <row r="11" spans="1:23" x14ac:dyDescent="0.25">
      <c r="A11" s="1"/>
      <c r="B11" s="2"/>
      <c r="C11" s="2"/>
      <c r="D11" s="2"/>
      <c r="E11" s="2"/>
      <c r="F11" s="2"/>
      <c r="G11" s="2" t="s">
        <v>17</v>
      </c>
      <c r="H11" s="2">
        <v>80</v>
      </c>
      <c r="I11" s="2">
        <v>82</v>
      </c>
      <c r="J11" s="2">
        <v>95</v>
      </c>
      <c r="K11" s="2">
        <v>98</v>
      </c>
      <c r="L11" s="2">
        <v>87</v>
      </c>
      <c r="M11" s="2">
        <v>99</v>
      </c>
      <c r="N11" s="2">
        <v>98</v>
      </c>
      <c r="O11" s="2">
        <v>98</v>
      </c>
      <c r="P11" s="2"/>
      <c r="Q11" s="2" t="s">
        <v>20</v>
      </c>
      <c r="R11" s="2">
        <v>707</v>
      </c>
      <c r="S11" s="2">
        <v>88.37</v>
      </c>
      <c r="T11" s="2">
        <v>9</v>
      </c>
      <c r="U11" s="2" t="s">
        <v>20</v>
      </c>
      <c r="V11" s="2"/>
    </row>
    <row r="12" spans="1:23" x14ac:dyDescent="0.25">
      <c r="A12" s="1">
        <v>6</v>
      </c>
      <c r="B12" s="8" t="s">
        <v>376</v>
      </c>
      <c r="C12" s="2">
        <v>11</v>
      </c>
      <c r="D12" s="2" t="s">
        <v>43</v>
      </c>
      <c r="E12" s="12" t="s">
        <v>726</v>
      </c>
      <c r="F12" s="2"/>
      <c r="G12" s="2" t="s">
        <v>16</v>
      </c>
      <c r="H12" s="2">
        <v>66</v>
      </c>
      <c r="I12" s="2">
        <v>54</v>
      </c>
      <c r="J12" s="2">
        <v>65</v>
      </c>
      <c r="K12" s="2">
        <v>58</v>
      </c>
      <c r="L12" s="2">
        <v>65</v>
      </c>
      <c r="M12" s="2">
        <v>71</v>
      </c>
      <c r="N12" s="2">
        <v>73</v>
      </c>
      <c r="O12" s="2">
        <v>65</v>
      </c>
      <c r="P12" s="2" t="s">
        <v>21</v>
      </c>
      <c r="Q12" s="2" t="s">
        <v>20</v>
      </c>
      <c r="R12" s="2">
        <v>517</v>
      </c>
      <c r="S12" s="2">
        <v>64.62</v>
      </c>
      <c r="T12" s="2">
        <v>21</v>
      </c>
      <c r="U12" s="2" t="s">
        <v>19</v>
      </c>
      <c r="V12" s="2"/>
    </row>
    <row r="13" spans="1:23" x14ac:dyDescent="0.25">
      <c r="A13" s="1"/>
      <c r="B13" s="2"/>
      <c r="C13" s="2"/>
      <c r="D13" s="2"/>
      <c r="E13" s="2"/>
      <c r="F13" s="2"/>
      <c r="G13" s="2" t="s">
        <v>17</v>
      </c>
      <c r="H13" s="2">
        <v>44</v>
      </c>
      <c r="I13" s="2">
        <v>50</v>
      </c>
      <c r="J13" s="2">
        <v>63</v>
      </c>
      <c r="K13" s="2">
        <v>38</v>
      </c>
      <c r="L13" s="2">
        <v>56</v>
      </c>
      <c r="M13" s="2">
        <v>80</v>
      </c>
      <c r="N13" s="2">
        <v>61</v>
      </c>
      <c r="O13" s="2">
        <v>35</v>
      </c>
      <c r="P13" s="2"/>
      <c r="Q13" s="2" t="s">
        <v>20</v>
      </c>
      <c r="R13" s="2">
        <v>427</v>
      </c>
      <c r="S13" s="2">
        <v>53.37</v>
      </c>
      <c r="T13" s="2">
        <v>22</v>
      </c>
      <c r="U13" s="2" t="s">
        <v>21</v>
      </c>
      <c r="V13" s="2"/>
    </row>
    <row r="14" spans="1:23" x14ac:dyDescent="0.25">
      <c r="A14" s="1">
        <v>7</v>
      </c>
      <c r="B14" s="2" t="s">
        <v>236</v>
      </c>
      <c r="C14" s="2">
        <v>12</v>
      </c>
      <c r="D14" s="2" t="s">
        <v>43</v>
      </c>
      <c r="E14" s="2" t="s">
        <v>601</v>
      </c>
      <c r="F14" s="2"/>
      <c r="G14" s="2" t="s">
        <v>16</v>
      </c>
      <c r="H14" s="2">
        <v>68</v>
      </c>
      <c r="I14" s="2">
        <v>58</v>
      </c>
      <c r="J14" s="2">
        <v>74</v>
      </c>
      <c r="K14" s="2">
        <v>57</v>
      </c>
      <c r="L14" s="2">
        <v>65</v>
      </c>
      <c r="M14" s="2">
        <v>77</v>
      </c>
      <c r="N14" s="2">
        <v>92</v>
      </c>
      <c r="O14" s="2">
        <v>61</v>
      </c>
      <c r="P14" s="2" t="s">
        <v>21</v>
      </c>
      <c r="Q14" s="2" t="s">
        <v>20</v>
      </c>
      <c r="R14" s="10">
        <v>552</v>
      </c>
      <c r="S14" s="11">
        <v>69</v>
      </c>
      <c r="T14" s="11">
        <v>18</v>
      </c>
      <c r="U14" s="11" t="s">
        <v>19</v>
      </c>
      <c r="V14" s="2"/>
    </row>
    <row r="15" spans="1:23" x14ac:dyDescent="0.25">
      <c r="A15" s="1"/>
      <c r="B15" s="2"/>
      <c r="C15" s="2"/>
      <c r="D15" s="2"/>
      <c r="E15" s="2"/>
      <c r="F15" s="2"/>
      <c r="G15" s="2" t="s">
        <v>17</v>
      </c>
      <c r="H15" s="2">
        <v>65</v>
      </c>
      <c r="I15" s="2">
        <v>58</v>
      </c>
      <c r="J15" s="2">
        <v>83</v>
      </c>
      <c r="K15" s="2">
        <v>48</v>
      </c>
      <c r="L15" s="2">
        <v>66</v>
      </c>
      <c r="M15" s="2">
        <v>77</v>
      </c>
      <c r="N15" s="2">
        <v>34</v>
      </c>
      <c r="O15" s="2">
        <v>80</v>
      </c>
      <c r="P15" s="2"/>
      <c r="Q15" s="2" t="s">
        <v>20</v>
      </c>
      <c r="R15" s="2">
        <v>511</v>
      </c>
      <c r="S15" s="2">
        <v>63.87</v>
      </c>
      <c r="T15" s="2">
        <v>18</v>
      </c>
      <c r="U15" s="2" t="s">
        <v>21</v>
      </c>
      <c r="V15" s="2"/>
    </row>
    <row r="16" spans="1:23" x14ac:dyDescent="0.25">
      <c r="A16" s="1">
        <v>8</v>
      </c>
      <c r="B16" s="9" t="s">
        <v>237</v>
      </c>
      <c r="C16" s="2">
        <v>12</v>
      </c>
      <c r="D16" s="2" t="s">
        <v>43</v>
      </c>
      <c r="E16" s="2" t="s">
        <v>602</v>
      </c>
      <c r="F16" s="2"/>
      <c r="G16" s="2" t="s">
        <v>16</v>
      </c>
      <c r="H16" s="2">
        <v>97</v>
      </c>
      <c r="I16" s="2">
        <v>89</v>
      </c>
      <c r="J16" s="2">
        <v>97</v>
      </c>
      <c r="K16" s="2">
        <v>85</v>
      </c>
      <c r="L16" s="2">
        <v>88</v>
      </c>
      <c r="M16" s="2">
        <v>90</v>
      </c>
      <c r="N16" s="2">
        <v>95</v>
      </c>
      <c r="O16" s="2">
        <v>93</v>
      </c>
      <c r="P16" s="2" t="s">
        <v>20</v>
      </c>
      <c r="Q16" s="2" t="s">
        <v>20</v>
      </c>
      <c r="R16" s="2">
        <v>734</v>
      </c>
      <c r="S16" s="2">
        <v>91.75</v>
      </c>
      <c r="T16" s="2">
        <v>6</v>
      </c>
      <c r="U16" s="2" t="s">
        <v>20</v>
      </c>
      <c r="V16" s="2"/>
    </row>
    <row r="17" spans="1:22" x14ac:dyDescent="0.25">
      <c r="A17" s="1"/>
      <c r="B17" s="2"/>
      <c r="C17" s="2"/>
      <c r="D17" s="2"/>
      <c r="E17" s="2"/>
      <c r="F17" s="2"/>
      <c r="G17" s="2" t="s">
        <v>17</v>
      </c>
      <c r="H17" s="2">
        <v>76</v>
      </c>
      <c r="I17" s="2">
        <v>81</v>
      </c>
      <c r="J17" s="2">
        <v>100</v>
      </c>
      <c r="K17" s="2">
        <v>88</v>
      </c>
      <c r="L17" s="2">
        <v>89</v>
      </c>
      <c r="M17" s="2">
        <v>97</v>
      </c>
      <c r="N17" s="2">
        <v>96</v>
      </c>
      <c r="O17" s="2">
        <v>94</v>
      </c>
      <c r="P17" s="2"/>
      <c r="Q17" s="2" t="s">
        <v>20</v>
      </c>
      <c r="R17" s="2">
        <v>721</v>
      </c>
      <c r="S17" s="2">
        <v>90.12</v>
      </c>
      <c r="T17" s="2">
        <v>8</v>
      </c>
      <c r="U17" s="2"/>
      <c r="V17" s="2"/>
    </row>
    <row r="18" spans="1:22" x14ac:dyDescent="0.25">
      <c r="A18" s="1">
        <v>9</v>
      </c>
      <c r="B18" s="2" t="s">
        <v>238</v>
      </c>
      <c r="C18" s="2">
        <v>12</v>
      </c>
      <c r="D18" s="2" t="s">
        <v>42</v>
      </c>
      <c r="E18" s="2" t="s">
        <v>603</v>
      </c>
      <c r="F18" s="2"/>
      <c r="G18" s="2" t="s">
        <v>16</v>
      </c>
      <c r="H18" s="2">
        <v>77</v>
      </c>
      <c r="I18" s="2">
        <v>80</v>
      </c>
      <c r="J18" s="2">
        <v>84</v>
      </c>
      <c r="K18" s="2">
        <v>62</v>
      </c>
      <c r="L18" s="2">
        <v>82</v>
      </c>
      <c r="M18" s="2">
        <v>72</v>
      </c>
      <c r="N18" s="2">
        <v>78</v>
      </c>
      <c r="O18" s="2">
        <v>81</v>
      </c>
      <c r="P18" s="2" t="s">
        <v>21</v>
      </c>
      <c r="Q18" s="2" t="s">
        <v>20</v>
      </c>
      <c r="R18" s="2">
        <v>591</v>
      </c>
      <c r="S18" s="2">
        <v>73.87</v>
      </c>
      <c r="T18" s="2">
        <v>14</v>
      </c>
      <c r="U18" s="2" t="s">
        <v>20</v>
      </c>
      <c r="V18" s="2"/>
    </row>
    <row r="19" spans="1:22" x14ac:dyDescent="0.25">
      <c r="A19" s="1"/>
      <c r="B19" s="2"/>
      <c r="C19" s="2"/>
      <c r="D19" s="2"/>
      <c r="E19" s="2"/>
      <c r="F19" s="2"/>
      <c r="G19" s="2" t="s">
        <v>17</v>
      </c>
      <c r="H19" s="2">
        <v>79</v>
      </c>
      <c r="I19" s="2">
        <v>60</v>
      </c>
      <c r="J19" s="2">
        <v>92</v>
      </c>
      <c r="K19" s="2">
        <v>59</v>
      </c>
      <c r="L19" s="2">
        <v>79</v>
      </c>
      <c r="M19" s="2">
        <v>90</v>
      </c>
      <c r="N19" s="2">
        <v>100</v>
      </c>
      <c r="O19" s="2">
        <v>90</v>
      </c>
      <c r="P19" s="2"/>
      <c r="Q19" s="2" t="s">
        <v>20</v>
      </c>
      <c r="R19" s="2">
        <v>649</v>
      </c>
      <c r="S19" s="2">
        <v>81.12</v>
      </c>
      <c r="T19" s="2">
        <v>11</v>
      </c>
      <c r="U19" s="2" t="s">
        <v>20</v>
      </c>
      <c r="V19" s="2"/>
    </row>
    <row r="20" spans="1:22" x14ac:dyDescent="0.25">
      <c r="A20" s="1">
        <v>10</v>
      </c>
      <c r="B20" s="2" t="s">
        <v>239</v>
      </c>
      <c r="C20" s="2">
        <v>12</v>
      </c>
      <c r="D20" s="2" t="s">
        <v>42</v>
      </c>
      <c r="E20" s="2" t="s">
        <v>604</v>
      </c>
      <c r="F20" s="2"/>
      <c r="G20" s="2" t="s">
        <v>16</v>
      </c>
      <c r="H20" s="2">
        <v>89</v>
      </c>
      <c r="I20" s="2">
        <v>66</v>
      </c>
      <c r="J20" s="2">
        <v>57</v>
      </c>
      <c r="K20" s="2">
        <v>78</v>
      </c>
      <c r="L20" s="2">
        <v>95</v>
      </c>
      <c r="M20" s="2">
        <v>93</v>
      </c>
      <c r="N20" s="2">
        <v>95</v>
      </c>
      <c r="O20" s="2">
        <v>82</v>
      </c>
      <c r="P20" s="2" t="s">
        <v>19</v>
      </c>
      <c r="Q20" s="2" t="s">
        <v>20</v>
      </c>
      <c r="R20" s="2">
        <v>655</v>
      </c>
      <c r="S20" s="2">
        <v>81.87</v>
      </c>
      <c r="T20" s="2">
        <v>11</v>
      </c>
      <c r="U20" s="2" t="s">
        <v>20</v>
      </c>
      <c r="V20" s="2"/>
    </row>
    <row r="21" spans="1:22" x14ac:dyDescent="0.25">
      <c r="A21" s="1"/>
      <c r="B21" s="2"/>
      <c r="C21" s="2"/>
      <c r="D21" s="2"/>
      <c r="E21" s="2"/>
      <c r="F21" s="2"/>
      <c r="G21" s="2" t="s">
        <v>17</v>
      </c>
      <c r="H21" s="2">
        <v>75</v>
      </c>
      <c r="I21" s="2">
        <v>67</v>
      </c>
      <c r="J21" s="2">
        <v>85</v>
      </c>
      <c r="K21" s="2">
        <v>62</v>
      </c>
      <c r="L21" s="2">
        <v>100</v>
      </c>
      <c r="M21" s="2">
        <v>97</v>
      </c>
      <c r="N21" s="2">
        <v>95</v>
      </c>
      <c r="O21" s="2">
        <v>91</v>
      </c>
      <c r="P21" s="2"/>
      <c r="Q21" s="2" t="s">
        <v>20</v>
      </c>
      <c r="R21" s="2">
        <v>672</v>
      </c>
      <c r="S21" s="2">
        <v>84</v>
      </c>
      <c r="T21" s="2">
        <v>10</v>
      </c>
      <c r="U21" s="2" t="s">
        <v>20</v>
      </c>
      <c r="V21" s="2"/>
    </row>
    <row r="22" spans="1:22" x14ac:dyDescent="0.25">
      <c r="A22" s="1">
        <v>11</v>
      </c>
      <c r="B22" s="8" t="s">
        <v>375</v>
      </c>
      <c r="C22" s="2">
        <v>12</v>
      </c>
      <c r="D22" s="2" t="s">
        <v>43</v>
      </c>
      <c r="E22" s="2" t="s">
        <v>605</v>
      </c>
      <c r="F22" s="2"/>
      <c r="G22" s="2" t="s">
        <v>16</v>
      </c>
      <c r="H22" s="2">
        <v>93</v>
      </c>
      <c r="I22" s="2">
        <v>88</v>
      </c>
      <c r="J22" s="2">
        <v>98</v>
      </c>
      <c r="K22" s="2">
        <v>92</v>
      </c>
      <c r="L22" s="2">
        <v>91</v>
      </c>
      <c r="M22" s="2">
        <v>75</v>
      </c>
      <c r="N22" s="2">
        <v>97</v>
      </c>
      <c r="O22" s="2">
        <v>84</v>
      </c>
      <c r="P22" s="2" t="s">
        <v>19</v>
      </c>
      <c r="Q22" s="2" t="s">
        <v>20</v>
      </c>
      <c r="R22" s="2">
        <v>718</v>
      </c>
      <c r="S22" s="2">
        <v>89.75</v>
      </c>
      <c r="T22" s="2">
        <v>8</v>
      </c>
      <c r="U22" s="2" t="s">
        <v>19</v>
      </c>
      <c r="V22" s="2"/>
    </row>
    <row r="23" spans="1:22" x14ac:dyDescent="0.25">
      <c r="A23" s="1"/>
      <c r="B23" s="2"/>
      <c r="C23" s="2"/>
      <c r="D23" s="2"/>
      <c r="E23" s="2"/>
      <c r="F23" s="2"/>
      <c r="G23" s="2" t="s">
        <v>17</v>
      </c>
      <c r="H23" s="2">
        <v>90</v>
      </c>
      <c r="I23" s="2">
        <v>86</v>
      </c>
      <c r="J23" s="2">
        <v>85</v>
      </c>
      <c r="K23" s="2">
        <v>80</v>
      </c>
      <c r="L23" s="2">
        <v>91</v>
      </c>
      <c r="M23" s="2">
        <v>97</v>
      </c>
      <c r="N23" s="2">
        <v>98</v>
      </c>
      <c r="O23" s="2">
        <v>95</v>
      </c>
      <c r="P23" s="2"/>
      <c r="Q23" s="2" t="s">
        <v>20</v>
      </c>
      <c r="R23" s="2">
        <v>722</v>
      </c>
      <c r="S23" s="2">
        <v>90.25</v>
      </c>
      <c r="T23" s="2">
        <v>7</v>
      </c>
      <c r="U23" s="2" t="s">
        <v>19</v>
      </c>
      <c r="V23" s="2"/>
    </row>
    <row r="24" spans="1:22" x14ac:dyDescent="0.25">
      <c r="A24" s="1">
        <v>12</v>
      </c>
      <c r="B24" s="2" t="s">
        <v>240</v>
      </c>
      <c r="C24" s="2">
        <v>13</v>
      </c>
      <c r="D24" s="2" t="s">
        <v>43</v>
      </c>
      <c r="E24" s="2" t="s">
        <v>606</v>
      </c>
      <c r="F24" s="2"/>
      <c r="G24" s="2" t="s">
        <v>16</v>
      </c>
      <c r="H24" s="2">
        <v>84</v>
      </c>
      <c r="I24" s="2">
        <v>62</v>
      </c>
      <c r="J24" s="2">
        <v>70</v>
      </c>
      <c r="K24" s="2">
        <v>53</v>
      </c>
      <c r="L24" s="2">
        <v>80</v>
      </c>
      <c r="M24" s="2">
        <v>67</v>
      </c>
      <c r="N24" s="2">
        <v>57</v>
      </c>
      <c r="O24" s="2">
        <v>69</v>
      </c>
      <c r="P24" s="2" t="s">
        <v>21</v>
      </c>
      <c r="Q24" s="2" t="s">
        <v>20</v>
      </c>
      <c r="R24" s="2">
        <v>542</v>
      </c>
      <c r="S24" s="2">
        <v>67.75</v>
      </c>
      <c r="T24" s="2">
        <v>20</v>
      </c>
      <c r="U24" s="2" t="s">
        <v>19</v>
      </c>
      <c r="V24" s="2"/>
    </row>
    <row r="25" spans="1:22" x14ac:dyDescent="0.25">
      <c r="A25" s="1"/>
      <c r="B25" s="2"/>
      <c r="C25" s="2"/>
      <c r="D25" s="2"/>
      <c r="E25" s="2"/>
      <c r="F25" s="2"/>
      <c r="G25" s="2" t="s">
        <v>17</v>
      </c>
      <c r="H25" s="2">
        <v>64</v>
      </c>
      <c r="I25" s="2">
        <v>50</v>
      </c>
      <c r="J25" s="2">
        <v>58</v>
      </c>
      <c r="K25" s="2">
        <v>69</v>
      </c>
      <c r="L25" s="2">
        <v>53</v>
      </c>
      <c r="M25" s="2">
        <v>66</v>
      </c>
      <c r="N25" s="2">
        <v>67</v>
      </c>
      <c r="O25" s="2">
        <v>92</v>
      </c>
      <c r="P25" s="2"/>
      <c r="Q25" s="2" t="s">
        <v>20</v>
      </c>
      <c r="R25" s="2">
        <v>519</v>
      </c>
      <c r="S25" s="2">
        <v>64.87</v>
      </c>
      <c r="T25" s="2">
        <v>16</v>
      </c>
      <c r="U25" s="2"/>
      <c r="V25" s="2"/>
    </row>
    <row r="26" spans="1:22" x14ac:dyDescent="0.25">
      <c r="A26" s="1">
        <v>13</v>
      </c>
      <c r="B26" s="2" t="s">
        <v>241</v>
      </c>
      <c r="C26" s="2">
        <v>12</v>
      </c>
      <c r="D26" s="2" t="s">
        <v>43</v>
      </c>
      <c r="E26" s="2" t="s">
        <v>607</v>
      </c>
      <c r="F26" s="2"/>
      <c r="G26" s="2" t="s">
        <v>16</v>
      </c>
      <c r="H26" s="2">
        <v>84</v>
      </c>
      <c r="I26" s="2">
        <v>71</v>
      </c>
      <c r="J26" s="2">
        <v>99</v>
      </c>
      <c r="K26" s="2">
        <v>86</v>
      </c>
      <c r="L26" s="2">
        <v>86</v>
      </c>
      <c r="M26" s="2">
        <v>87</v>
      </c>
      <c r="N26" s="2">
        <v>73</v>
      </c>
      <c r="O26" s="2">
        <v>83</v>
      </c>
      <c r="P26" s="2" t="s">
        <v>21</v>
      </c>
      <c r="Q26" s="2" t="s">
        <v>20</v>
      </c>
      <c r="R26" s="2">
        <v>669</v>
      </c>
      <c r="S26" s="2">
        <v>83.62</v>
      </c>
      <c r="T26" s="2">
        <v>10</v>
      </c>
      <c r="U26" s="2" t="s">
        <v>20</v>
      </c>
      <c r="V26" s="2"/>
    </row>
    <row r="27" spans="1:22" x14ac:dyDescent="0.25">
      <c r="A27" s="1"/>
      <c r="B27" s="2"/>
      <c r="C27" s="2"/>
      <c r="D27" s="2"/>
      <c r="E27" s="2"/>
      <c r="F27" s="2"/>
      <c r="G27" s="2" t="s">
        <v>17</v>
      </c>
      <c r="H27" s="2">
        <v>62</v>
      </c>
      <c r="I27" s="2">
        <v>71</v>
      </c>
      <c r="J27" s="2">
        <v>95</v>
      </c>
      <c r="K27" s="2">
        <v>67</v>
      </c>
      <c r="L27" s="2">
        <v>86</v>
      </c>
      <c r="M27" s="2">
        <v>92</v>
      </c>
      <c r="N27" s="2">
        <v>90</v>
      </c>
      <c r="O27" s="2">
        <v>86</v>
      </c>
      <c r="P27" s="2"/>
      <c r="Q27" s="2" t="s">
        <v>20</v>
      </c>
      <c r="R27" s="2">
        <v>648</v>
      </c>
      <c r="S27" s="2">
        <v>81</v>
      </c>
      <c r="T27" s="2">
        <v>12</v>
      </c>
      <c r="U27" s="2" t="s">
        <v>20</v>
      </c>
      <c r="V27" s="2"/>
    </row>
    <row r="28" spans="1:22" x14ac:dyDescent="0.25">
      <c r="A28" s="3">
        <v>14</v>
      </c>
      <c r="B28" s="4" t="s">
        <v>242</v>
      </c>
      <c r="C28" s="4">
        <v>12</v>
      </c>
      <c r="D28" s="4" t="s">
        <v>43</v>
      </c>
      <c r="E28" s="2" t="s">
        <v>608</v>
      </c>
      <c r="F28" s="4"/>
      <c r="G28" s="2" t="s">
        <v>16</v>
      </c>
      <c r="H28" s="2">
        <v>98</v>
      </c>
      <c r="I28" s="2">
        <v>98</v>
      </c>
      <c r="J28" s="2">
        <v>100</v>
      </c>
      <c r="K28" s="2">
        <v>95</v>
      </c>
      <c r="L28" s="2">
        <v>100</v>
      </c>
      <c r="M28" s="2">
        <v>96</v>
      </c>
      <c r="N28" s="2">
        <v>100</v>
      </c>
      <c r="O28" s="2">
        <v>96</v>
      </c>
      <c r="P28" s="2" t="s">
        <v>23</v>
      </c>
      <c r="Q28" s="2" t="s">
        <v>20</v>
      </c>
      <c r="R28" s="2">
        <v>783</v>
      </c>
      <c r="S28" s="2">
        <v>97.87</v>
      </c>
      <c r="T28" s="2">
        <v>2</v>
      </c>
      <c r="U28" s="4" t="s">
        <v>20</v>
      </c>
      <c r="V28" s="4"/>
    </row>
    <row r="29" spans="1:22" x14ac:dyDescent="0.25">
      <c r="A29" s="1"/>
      <c r="B29" s="2"/>
      <c r="C29" s="2"/>
      <c r="D29" s="2"/>
      <c r="E29" s="2"/>
      <c r="F29" s="2"/>
      <c r="G29" s="2" t="s">
        <v>17</v>
      </c>
      <c r="H29" s="2">
        <v>88</v>
      </c>
      <c r="I29" s="2">
        <v>97</v>
      </c>
      <c r="J29" s="2">
        <v>100</v>
      </c>
      <c r="K29" s="2">
        <v>95</v>
      </c>
      <c r="L29" s="2">
        <v>100</v>
      </c>
      <c r="M29" s="2">
        <v>100</v>
      </c>
      <c r="N29" s="2">
        <v>100</v>
      </c>
      <c r="O29" s="2">
        <v>96</v>
      </c>
      <c r="P29" s="2"/>
      <c r="Q29" s="2" t="s">
        <v>20</v>
      </c>
      <c r="R29" s="2">
        <v>776</v>
      </c>
      <c r="S29" s="2">
        <v>97</v>
      </c>
      <c r="T29" s="2">
        <v>2</v>
      </c>
      <c r="U29" s="2" t="s">
        <v>20</v>
      </c>
      <c r="V29" s="2"/>
    </row>
    <row r="30" spans="1:22" x14ac:dyDescent="0.25">
      <c r="A30" s="1">
        <v>15</v>
      </c>
      <c r="B30" s="2" t="s">
        <v>243</v>
      </c>
      <c r="C30" s="2">
        <v>12</v>
      </c>
      <c r="D30" s="2" t="s">
        <v>42</v>
      </c>
      <c r="E30" s="2" t="s">
        <v>609</v>
      </c>
      <c r="F30" s="2"/>
      <c r="G30" s="2" t="s">
        <v>16</v>
      </c>
      <c r="H30" s="2">
        <v>100</v>
      </c>
      <c r="I30" s="2">
        <v>84</v>
      </c>
      <c r="J30" s="2">
        <v>100</v>
      </c>
      <c r="K30" s="2">
        <v>88</v>
      </c>
      <c r="L30" s="2">
        <v>100</v>
      </c>
      <c r="M30" s="2">
        <v>92</v>
      </c>
      <c r="N30" s="2">
        <v>93</v>
      </c>
      <c r="O30" s="2">
        <v>93</v>
      </c>
      <c r="P30" s="2" t="s">
        <v>19</v>
      </c>
      <c r="Q30" s="2" t="s">
        <v>20</v>
      </c>
      <c r="R30" s="2">
        <v>750</v>
      </c>
      <c r="S30" s="2">
        <v>93.75</v>
      </c>
      <c r="T30" s="2">
        <v>5</v>
      </c>
      <c r="U30" s="2" t="s">
        <v>20</v>
      </c>
      <c r="V30" s="2"/>
    </row>
    <row r="31" spans="1:22" x14ac:dyDescent="0.25">
      <c r="A31" s="1"/>
      <c r="B31" s="2"/>
      <c r="C31" s="2"/>
      <c r="D31" s="2"/>
      <c r="E31" s="2"/>
      <c r="F31" s="2"/>
      <c r="G31" s="2" t="s">
        <v>17</v>
      </c>
      <c r="H31" s="2">
        <v>90</v>
      </c>
      <c r="I31" s="2">
        <v>75</v>
      </c>
      <c r="J31" s="2">
        <v>100</v>
      </c>
      <c r="K31" s="2">
        <v>92</v>
      </c>
      <c r="L31" s="2">
        <v>97</v>
      </c>
      <c r="M31" s="2">
        <v>99</v>
      </c>
      <c r="N31" s="2">
        <v>99</v>
      </c>
      <c r="O31" s="2">
        <v>94</v>
      </c>
      <c r="P31" s="2"/>
      <c r="Q31" s="2" t="s">
        <v>20</v>
      </c>
      <c r="R31" s="2">
        <v>746</v>
      </c>
      <c r="S31" s="2">
        <v>93.25</v>
      </c>
      <c r="T31" s="2">
        <v>6</v>
      </c>
      <c r="U31" s="2"/>
      <c r="V31" s="2"/>
    </row>
    <row r="32" spans="1:22" x14ac:dyDescent="0.25">
      <c r="A32" s="1">
        <v>16</v>
      </c>
      <c r="B32" s="2" t="s">
        <v>244</v>
      </c>
      <c r="C32" s="2">
        <v>12</v>
      </c>
      <c r="D32" s="2" t="s">
        <v>43</v>
      </c>
      <c r="E32" s="2" t="s">
        <v>610</v>
      </c>
      <c r="F32" s="2"/>
      <c r="G32" s="2" t="s">
        <v>16</v>
      </c>
      <c r="H32" s="2">
        <v>95</v>
      </c>
      <c r="I32" s="2">
        <v>88</v>
      </c>
      <c r="J32" s="2">
        <v>96</v>
      </c>
      <c r="K32" s="2">
        <v>89</v>
      </c>
      <c r="L32" s="2">
        <v>100</v>
      </c>
      <c r="M32" s="2">
        <v>93</v>
      </c>
      <c r="N32" s="2">
        <v>98</v>
      </c>
      <c r="O32" s="2">
        <v>94</v>
      </c>
      <c r="P32" s="2" t="s">
        <v>23</v>
      </c>
      <c r="Q32" s="2" t="s">
        <v>20</v>
      </c>
      <c r="R32" s="2">
        <v>753</v>
      </c>
      <c r="S32" s="2">
        <v>94.12</v>
      </c>
      <c r="T32" s="2">
        <v>4</v>
      </c>
      <c r="U32" s="2" t="s">
        <v>19</v>
      </c>
      <c r="V32" s="2"/>
    </row>
    <row r="33" spans="1:22" x14ac:dyDescent="0.25">
      <c r="A33" s="1"/>
      <c r="B33" s="2"/>
      <c r="C33" s="2"/>
      <c r="D33" s="2"/>
      <c r="E33" s="2"/>
      <c r="F33" s="2"/>
      <c r="G33" s="2" t="s">
        <v>17</v>
      </c>
      <c r="H33" s="2">
        <v>89</v>
      </c>
      <c r="I33" s="2">
        <v>91</v>
      </c>
      <c r="J33" s="2">
        <v>100</v>
      </c>
      <c r="K33" s="2">
        <v>90</v>
      </c>
      <c r="L33" s="2">
        <v>100</v>
      </c>
      <c r="M33" s="2">
        <v>100</v>
      </c>
      <c r="N33" s="2">
        <v>99</v>
      </c>
      <c r="O33" s="2">
        <v>99</v>
      </c>
      <c r="P33" s="2"/>
      <c r="Q33" s="2" t="s">
        <v>20</v>
      </c>
      <c r="R33" s="2">
        <v>768</v>
      </c>
      <c r="S33" s="2">
        <v>96</v>
      </c>
      <c r="T33" s="2">
        <v>3</v>
      </c>
      <c r="U33" s="2"/>
      <c r="V33" s="2"/>
    </row>
    <row r="34" spans="1:22" x14ac:dyDescent="0.25">
      <c r="A34" s="1">
        <v>17</v>
      </c>
      <c r="B34" s="9" t="s">
        <v>245</v>
      </c>
      <c r="C34" s="2">
        <v>14</v>
      </c>
      <c r="D34" s="2" t="s">
        <v>43</v>
      </c>
      <c r="E34" s="12" t="s">
        <v>727</v>
      </c>
      <c r="F34" s="2"/>
      <c r="G34" s="2" t="s">
        <v>16</v>
      </c>
      <c r="H34" s="2">
        <v>45</v>
      </c>
      <c r="I34" s="2">
        <v>36</v>
      </c>
      <c r="J34" s="2">
        <v>51</v>
      </c>
      <c r="K34" s="2">
        <v>34</v>
      </c>
      <c r="L34" s="2">
        <v>50</v>
      </c>
      <c r="M34" s="2">
        <v>61</v>
      </c>
      <c r="N34" s="2">
        <v>40</v>
      </c>
      <c r="O34" s="2">
        <v>48</v>
      </c>
      <c r="P34" s="2" t="s">
        <v>21</v>
      </c>
      <c r="Q34" s="2" t="s">
        <v>20</v>
      </c>
      <c r="R34" s="2">
        <v>3365</v>
      </c>
      <c r="S34" s="2">
        <v>45.62</v>
      </c>
      <c r="T34" s="2">
        <v>24</v>
      </c>
      <c r="U34" s="2" t="s">
        <v>20</v>
      </c>
      <c r="V34" s="2"/>
    </row>
    <row r="35" spans="1:22" x14ac:dyDescent="0.25">
      <c r="A35" s="1"/>
      <c r="B35" s="2"/>
      <c r="C35" s="2"/>
      <c r="D35" s="2"/>
      <c r="E35" s="2"/>
      <c r="F35" s="2"/>
      <c r="G35" s="2" t="s">
        <v>17</v>
      </c>
      <c r="H35" s="2">
        <v>28</v>
      </c>
      <c r="I35" s="2">
        <v>50</v>
      </c>
      <c r="J35" s="2">
        <v>38</v>
      </c>
      <c r="K35" s="2">
        <v>42</v>
      </c>
      <c r="L35" s="2">
        <v>54</v>
      </c>
      <c r="M35" s="2">
        <v>57</v>
      </c>
      <c r="N35" s="2">
        <v>53</v>
      </c>
      <c r="O35" s="2">
        <v>77</v>
      </c>
      <c r="P35" s="2"/>
      <c r="Q35" s="2" t="s">
        <v>20</v>
      </c>
      <c r="R35" s="2">
        <v>339</v>
      </c>
      <c r="S35" s="2">
        <v>49.85</v>
      </c>
      <c r="T35" s="2">
        <v>23</v>
      </c>
      <c r="U35" s="2" t="s">
        <v>20</v>
      </c>
      <c r="V35" s="2"/>
    </row>
    <row r="36" spans="1:22" s="4" customFormat="1" x14ac:dyDescent="0.25">
      <c r="A36" s="4">
        <v>18</v>
      </c>
      <c r="B36" s="4" t="s">
        <v>246</v>
      </c>
      <c r="C36" s="4">
        <v>12</v>
      </c>
      <c r="D36" s="4" t="s">
        <v>42</v>
      </c>
      <c r="E36" s="4" t="s">
        <v>611</v>
      </c>
      <c r="G36" s="4" t="s">
        <v>16</v>
      </c>
      <c r="H36" s="4">
        <v>88</v>
      </c>
      <c r="I36" s="4">
        <v>61</v>
      </c>
      <c r="J36" s="4">
        <v>66</v>
      </c>
      <c r="K36" s="4">
        <v>60</v>
      </c>
      <c r="L36" s="4">
        <v>89</v>
      </c>
      <c r="M36" s="4">
        <v>83</v>
      </c>
      <c r="N36" s="4">
        <v>47</v>
      </c>
      <c r="O36" s="4">
        <v>66</v>
      </c>
      <c r="P36" s="4" t="s">
        <v>21</v>
      </c>
      <c r="Q36" s="4" t="s">
        <v>19</v>
      </c>
      <c r="R36" s="4">
        <v>560</v>
      </c>
      <c r="S36" s="4">
        <v>70</v>
      </c>
      <c r="T36" s="4">
        <v>16</v>
      </c>
      <c r="U36" s="4" t="s">
        <v>19</v>
      </c>
    </row>
    <row r="37" spans="1:22" x14ac:dyDescent="0.25">
      <c r="A37" s="1"/>
      <c r="B37" s="2"/>
      <c r="C37" s="2"/>
      <c r="D37" s="2"/>
      <c r="E37" s="2"/>
      <c r="F37" s="2"/>
      <c r="G37" s="2" t="s">
        <v>17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x14ac:dyDescent="0.25">
      <c r="A38" s="1">
        <v>19</v>
      </c>
      <c r="B38" s="2" t="s">
        <v>247</v>
      </c>
      <c r="C38" s="2">
        <v>12</v>
      </c>
      <c r="D38" s="2" t="s">
        <v>42</v>
      </c>
      <c r="E38" s="2" t="s">
        <v>612</v>
      </c>
      <c r="F38" s="2"/>
      <c r="G38" s="2" t="s">
        <v>16</v>
      </c>
      <c r="H38" s="2">
        <v>100</v>
      </c>
      <c r="I38" s="2">
        <v>100</v>
      </c>
      <c r="J38" s="2">
        <v>100</v>
      </c>
      <c r="K38" s="2">
        <v>100</v>
      </c>
      <c r="L38" s="2">
        <v>100</v>
      </c>
      <c r="M38" s="2">
        <v>98</v>
      </c>
      <c r="N38" s="2">
        <v>100</v>
      </c>
      <c r="O38" s="2">
        <v>98</v>
      </c>
      <c r="P38" s="2" t="s">
        <v>23</v>
      </c>
      <c r="Q38" s="2" t="s">
        <v>20</v>
      </c>
      <c r="R38" s="2">
        <v>796</v>
      </c>
      <c r="S38" s="2">
        <v>99.5</v>
      </c>
      <c r="T38" s="2">
        <v>1</v>
      </c>
      <c r="U38" s="2" t="s">
        <v>20</v>
      </c>
      <c r="V38" s="2"/>
    </row>
    <row r="39" spans="1:22" x14ac:dyDescent="0.25">
      <c r="A39" s="1"/>
      <c r="B39" s="2"/>
      <c r="C39" s="2"/>
      <c r="D39" s="2"/>
      <c r="E39" s="2"/>
      <c r="F39" s="2"/>
      <c r="G39" s="2" t="s">
        <v>17</v>
      </c>
      <c r="H39" s="2">
        <v>98</v>
      </c>
      <c r="I39" s="2">
        <v>98</v>
      </c>
      <c r="J39" s="2">
        <v>100</v>
      </c>
      <c r="K39" s="2">
        <v>98</v>
      </c>
      <c r="L39" s="2">
        <v>100</v>
      </c>
      <c r="M39" s="2">
        <v>102</v>
      </c>
      <c r="N39" s="2">
        <v>100</v>
      </c>
      <c r="O39" s="2">
        <v>100</v>
      </c>
      <c r="P39" s="2"/>
      <c r="Q39" s="2" t="s">
        <v>20</v>
      </c>
      <c r="R39" s="2">
        <v>791</v>
      </c>
      <c r="S39" s="2">
        <v>98.87</v>
      </c>
      <c r="T39" s="2">
        <v>1</v>
      </c>
      <c r="U39" s="2" t="s">
        <v>20</v>
      </c>
      <c r="V39" s="2"/>
    </row>
    <row r="40" spans="1:22" x14ac:dyDescent="0.25">
      <c r="A40" s="1">
        <v>20</v>
      </c>
      <c r="B40" s="2" t="s">
        <v>248</v>
      </c>
      <c r="C40" s="2">
        <v>12</v>
      </c>
      <c r="D40" s="2" t="s">
        <v>42</v>
      </c>
      <c r="E40" s="2" t="s">
        <v>613</v>
      </c>
      <c r="F40" s="2"/>
      <c r="G40" s="2" t="s">
        <v>16</v>
      </c>
      <c r="H40" s="2">
        <v>94</v>
      </c>
      <c r="I40" s="2">
        <v>83</v>
      </c>
      <c r="J40" s="2">
        <v>92</v>
      </c>
      <c r="K40" s="2">
        <v>96</v>
      </c>
      <c r="L40" s="2">
        <v>97</v>
      </c>
      <c r="M40" s="2">
        <v>86</v>
      </c>
      <c r="N40" s="2">
        <v>95</v>
      </c>
      <c r="O40" s="2">
        <v>87</v>
      </c>
      <c r="P40" s="2" t="s">
        <v>20</v>
      </c>
      <c r="Q40" s="2" t="s">
        <v>20</v>
      </c>
      <c r="R40" s="2">
        <v>730</v>
      </c>
      <c r="S40" s="2">
        <v>91.25</v>
      </c>
      <c r="T40" s="2">
        <v>7</v>
      </c>
      <c r="U40" s="2" t="s">
        <v>20</v>
      </c>
      <c r="V40" s="2"/>
    </row>
    <row r="41" spans="1:22" x14ac:dyDescent="0.25">
      <c r="A41" s="1"/>
      <c r="B41" s="2"/>
      <c r="C41" s="2"/>
      <c r="D41" s="2"/>
      <c r="E41" s="2"/>
      <c r="F41" s="2"/>
      <c r="G41" s="2" t="s">
        <v>17</v>
      </c>
      <c r="H41" s="2">
        <v>84</v>
      </c>
      <c r="I41" s="2">
        <v>87</v>
      </c>
      <c r="J41" s="2">
        <v>98</v>
      </c>
      <c r="K41" s="2">
        <v>91</v>
      </c>
      <c r="L41" s="2">
        <v>100</v>
      </c>
      <c r="M41" s="2">
        <v>100</v>
      </c>
      <c r="N41" s="2">
        <v>99</v>
      </c>
      <c r="O41" s="2">
        <v>94</v>
      </c>
      <c r="P41" s="2"/>
      <c r="Q41" s="2" t="s">
        <v>20</v>
      </c>
      <c r="R41" s="2">
        <v>753</v>
      </c>
      <c r="S41" s="2">
        <v>94.12</v>
      </c>
      <c r="T41" s="2">
        <v>5</v>
      </c>
      <c r="U41" s="2" t="s">
        <v>20</v>
      </c>
      <c r="V41" s="2"/>
    </row>
    <row r="42" spans="1:22" x14ac:dyDescent="0.25">
      <c r="A42" s="1">
        <v>21</v>
      </c>
      <c r="B42" s="2" t="s">
        <v>249</v>
      </c>
      <c r="C42" s="2">
        <v>12</v>
      </c>
      <c r="D42" s="2" t="s">
        <v>42</v>
      </c>
      <c r="E42" s="2" t="s">
        <v>614</v>
      </c>
      <c r="F42" s="2"/>
      <c r="G42" s="2" t="s">
        <v>16</v>
      </c>
      <c r="H42" s="2">
        <v>86</v>
      </c>
      <c r="I42" s="2">
        <v>70</v>
      </c>
      <c r="J42" s="2">
        <v>48</v>
      </c>
      <c r="K42" s="2">
        <v>26</v>
      </c>
      <c r="L42" s="2">
        <v>58</v>
      </c>
      <c r="M42" s="2">
        <v>56</v>
      </c>
      <c r="N42" s="2">
        <v>52</v>
      </c>
      <c r="O42" s="2">
        <v>62</v>
      </c>
      <c r="P42" s="2" t="s">
        <v>20</v>
      </c>
      <c r="Q42" s="2" t="s">
        <v>19</v>
      </c>
      <c r="R42" s="2">
        <v>458</v>
      </c>
      <c r="S42" s="2">
        <v>57.25</v>
      </c>
      <c r="T42" s="2">
        <v>23</v>
      </c>
      <c r="U42" s="2" t="s">
        <v>19</v>
      </c>
      <c r="V42" s="2"/>
    </row>
    <row r="43" spans="1:22" x14ac:dyDescent="0.25">
      <c r="A43" s="1"/>
      <c r="B43" s="2"/>
      <c r="C43" s="2"/>
      <c r="D43" s="2"/>
      <c r="E43" s="2"/>
      <c r="F43" s="2"/>
      <c r="G43" s="2" t="s">
        <v>17</v>
      </c>
      <c r="H43" s="2">
        <v>66</v>
      </c>
      <c r="I43" s="2">
        <v>50</v>
      </c>
      <c r="J43" s="2">
        <v>46</v>
      </c>
      <c r="K43" s="2">
        <v>37</v>
      </c>
      <c r="L43" s="2">
        <v>63</v>
      </c>
      <c r="M43" s="2">
        <v>70</v>
      </c>
      <c r="N43" s="2">
        <v>65</v>
      </c>
      <c r="O43" s="2">
        <v>84</v>
      </c>
      <c r="P43" s="2"/>
      <c r="Q43" s="2" t="s">
        <v>20</v>
      </c>
      <c r="R43" s="2">
        <v>481</v>
      </c>
      <c r="S43" s="2">
        <v>60.12</v>
      </c>
      <c r="T43" s="2">
        <v>21</v>
      </c>
      <c r="U43" s="2" t="s">
        <v>19</v>
      </c>
      <c r="V43" s="2"/>
    </row>
    <row r="44" spans="1:22" x14ac:dyDescent="0.25">
      <c r="A44" s="1">
        <v>22</v>
      </c>
      <c r="B44" s="2" t="s">
        <v>250</v>
      </c>
      <c r="C44" s="2">
        <v>13</v>
      </c>
      <c r="D44" s="2" t="s">
        <v>42</v>
      </c>
      <c r="E44" s="2" t="s">
        <v>615</v>
      </c>
      <c r="F44" s="2"/>
      <c r="G44" s="2" t="s">
        <v>16</v>
      </c>
      <c r="H44" s="2">
        <v>98</v>
      </c>
      <c r="I44" s="2">
        <v>87</v>
      </c>
      <c r="J44" s="2">
        <v>100</v>
      </c>
      <c r="K44" s="2">
        <v>93</v>
      </c>
      <c r="L44" s="2">
        <v>98</v>
      </c>
      <c r="M44" s="2">
        <v>91</v>
      </c>
      <c r="N44" s="2">
        <v>97</v>
      </c>
      <c r="O44" s="2">
        <v>98</v>
      </c>
      <c r="P44" s="2" t="s">
        <v>21</v>
      </c>
      <c r="Q44" s="2" t="s">
        <v>20</v>
      </c>
      <c r="R44" s="2">
        <v>762</v>
      </c>
      <c r="S44" s="2">
        <v>95.25</v>
      </c>
      <c r="T44" s="2">
        <v>3</v>
      </c>
      <c r="U44" s="2" t="s">
        <v>20</v>
      </c>
      <c r="V44" s="2"/>
    </row>
    <row r="45" spans="1:22" x14ac:dyDescent="0.25">
      <c r="A45" s="1"/>
      <c r="B45" s="2"/>
      <c r="C45" s="2"/>
      <c r="D45" s="2"/>
      <c r="E45" s="2"/>
      <c r="F45" s="2"/>
      <c r="G45" s="2" t="s">
        <v>17</v>
      </c>
      <c r="H45" s="2">
        <v>88</v>
      </c>
      <c r="I45" s="2">
        <v>97</v>
      </c>
      <c r="J45" s="2">
        <v>100</v>
      </c>
      <c r="K45" s="2">
        <v>79</v>
      </c>
      <c r="L45" s="2">
        <v>98</v>
      </c>
      <c r="M45" s="2">
        <v>104</v>
      </c>
      <c r="N45" s="2">
        <v>100</v>
      </c>
      <c r="O45" s="2">
        <v>100</v>
      </c>
      <c r="P45" s="2"/>
      <c r="Q45" s="2" t="s">
        <v>20</v>
      </c>
      <c r="R45" s="2">
        <v>762</v>
      </c>
      <c r="S45" s="2">
        <v>95.25</v>
      </c>
      <c r="T45" s="2">
        <v>4</v>
      </c>
      <c r="U45" s="2" t="s">
        <v>20</v>
      </c>
      <c r="V45" s="2"/>
    </row>
    <row r="46" spans="1:22" x14ac:dyDescent="0.25">
      <c r="A46" s="1">
        <v>23</v>
      </c>
      <c r="B46" s="2" t="s">
        <v>251</v>
      </c>
      <c r="C46" s="2">
        <v>13</v>
      </c>
      <c r="D46" s="2" t="s">
        <v>43</v>
      </c>
      <c r="E46" s="2" t="s">
        <v>616</v>
      </c>
      <c r="F46" s="2"/>
      <c r="G46" s="2" t="s">
        <v>16</v>
      </c>
      <c r="H46" s="2">
        <v>86</v>
      </c>
      <c r="I46" s="2">
        <v>60</v>
      </c>
      <c r="J46" s="2">
        <v>65</v>
      </c>
      <c r="K46" s="2">
        <v>65</v>
      </c>
      <c r="L46" s="2">
        <v>86</v>
      </c>
      <c r="M46" s="2">
        <v>82</v>
      </c>
      <c r="N46" s="2">
        <v>75</v>
      </c>
      <c r="O46" s="2">
        <v>81</v>
      </c>
      <c r="P46" s="2" t="s">
        <v>126</v>
      </c>
      <c r="Q46" s="2" t="s">
        <v>20</v>
      </c>
      <c r="R46" s="2">
        <v>600</v>
      </c>
      <c r="S46" s="2">
        <v>75</v>
      </c>
      <c r="T46" s="2">
        <v>12</v>
      </c>
      <c r="U46" s="2" t="s">
        <v>19</v>
      </c>
      <c r="V46" s="2"/>
    </row>
    <row r="47" spans="1:22" x14ac:dyDescent="0.25">
      <c r="A47" s="1"/>
      <c r="B47" s="2"/>
      <c r="C47" s="2"/>
      <c r="D47" s="2"/>
      <c r="E47" s="2"/>
      <c r="F47" s="2"/>
      <c r="G47" s="2" t="s">
        <v>17</v>
      </c>
      <c r="H47" s="2">
        <v>76</v>
      </c>
      <c r="I47" s="2">
        <v>55</v>
      </c>
      <c r="J47" s="2">
        <v>80</v>
      </c>
      <c r="K47" s="2">
        <v>49</v>
      </c>
      <c r="L47" s="2">
        <v>82.3</v>
      </c>
      <c r="M47" s="2">
        <v>78</v>
      </c>
      <c r="N47" s="2">
        <v>63</v>
      </c>
      <c r="O47" s="2">
        <v>89</v>
      </c>
      <c r="P47" s="2"/>
      <c r="Q47" s="2" t="s">
        <v>20</v>
      </c>
      <c r="R47" s="2">
        <v>573</v>
      </c>
      <c r="S47" s="2">
        <v>71.62</v>
      </c>
      <c r="T47" s="2">
        <v>14</v>
      </c>
      <c r="U47" s="2" t="s">
        <v>19</v>
      </c>
      <c r="V47" s="2"/>
    </row>
    <row r="48" spans="1:22" x14ac:dyDescent="0.25">
      <c r="A48" s="1">
        <v>24</v>
      </c>
      <c r="B48" s="2" t="s">
        <v>252</v>
      </c>
      <c r="C48" s="2">
        <v>12</v>
      </c>
      <c r="D48" s="2" t="s">
        <v>43</v>
      </c>
      <c r="E48" s="12" t="s">
        <v>728</v>
      </c>
      <c r="F48" s="2"/>
      <c r="G48" s="2" t="s">
        <v>16</v>
      </c>
      <c r="H48" s="2">
        <v>95</v>
      </c>
      <c r="I48" s="2">
        <v>69</v>
      </c>
      <c r="J48" s="2">
        <v>53</v>
      </c>
      <c r="K48" s="2">
        <v>33</v>
      </c>
      <c r="L48" s="2">
        <v>66</v>
      </c>
      <c r="M48" s="2">
        <v>60</v>
      </c>
      <c r="N48" s="2">
        <v>61</v>
      </c>
      <c r="O48" s="2">
        <v>71</v>
      </c>
      <c r="P48" s="2" t="s">
        <v>21</v>
      </c>
      <c r="Q48" s="2" t="s">
        <v>20</v>
      </c>
      <c r="R48" s="2">
        <v>508</v>
      </c>
      <c r="S48" s="2">
        <v>63.5</v>
      </c>
      <c r="T48" s="2">
        <v>22</v>
      </c>
      <c r="U48" s="2" t="s">
        <v>20</v>
      </c>
      <c r="V48" s="2"/>
    </row>
    <row r="49" spans="1:22" x14ac:dyDescent="0.25">
      <c r="A49" s="1"/>
      <c r="B49" s="2"/>
      <c r="C49" s="2"/>
      <c r="D49" s="2"/>
      <c r="E49" s="2"/>
      <c r="F49" s="2"/>
      <c r="G49" s="2" t="s">
        <v>17</v>
      </c>
      <c r="H49" s="2">
        <v>72</v>
      </c>
      <c r="I49" s="2">
        <v>81</v>
      </c>
      <c r="J49" s="2">
        <v>39</v>
      </c>
      <c r="K49" s="2">
        <v>40</v>
      </c>
      <c r="L49" s="2">
        <v>60</v>
      </c>
      <c r="M49" s="2">
        <v>72</v>
      </c>
      <c r="N49" s="2">
        <v>64</v>
      </c>
      <c r="O49" s="2">
        <v>83</v>
      </c>
      <c r="P49" s="2"/>
      <c r="Q49" s="2" t="s">
        <v>20</v>
      </c>
      <c r="R49" s="2">
        <v>511</v>
      </c>
      <c r="S49" s="2">
        <v>63.87</v>
      </c>
      <c r="T49" s="2">
        <v>18</v>
      </c>
      <c r="U49" s="2" t="s">
        <v>19</v>
      </c>
      <c r="V49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W41"/>
  <sheetViews>
    <sheetView topLeftCell="C1" zoomScale="68" zoomScaleNormal="68" zoomScalePageLayoutView="68" workbookViewId="0">
      <selection activeCell="U4" sqref="U4"/>
    </sheetView>
  </sheetViews>
  <sheetFormatPr defaultColWidth="11.125" defaultRowHeight="15.75" x14ac:dyDescent="0.25"/>
  <cols>
    <col min="1" max="1" width="7.5" customWidth="1"/>
    <col min="2" max="2" width="25.625" customWidth="1"/>
    <col min="3" max="3" width="10.625" bestFit="1" customWidth="1"/>
    <col min="4" max="4" width="8.5" customWidth="1"/>
    <col min="5" max="5" width="11.375" bestFit="1" customWidth="1"/>
    <col min="6" max="6" width="8.5" customWidth="1"/>
  </cols>
  <sheetData>
    <row r="1" spans="1:23" ht="90" x14ac:dyDescent="0.25">
      <c r="A1" s="5" t="s">
        <v>0</v>
      </c>
      <c r="B1" s="6" t="s">
        <v>382</v>
      </c>
      <c r="C1" s="6" t="s">
        <v>3</v>
      </c>
      <c r="D1" s="6" t="s">
        <v>2</v>
      </c>
      <c r="E1" s="6" t="s">
        <v>383</v>
      </c>
      <c r="F1" s="6" t="s">
        <v>390</v>
      </c>
      <c r="G1" s="6" t="s">
        <v>385</v>
      </c>
      <c r="H1" s="6" t="s">
        <v>5</v>
      </c>
      <c r="I1" s="6" t="s">
        <v>6</v>
      </c>
      <c r="J1" s="6" t="s">
        <v>7</v>
      </c>
      <c r="K1" s="6" t="s">
        <v>228</v>
      </c>
      <c r="L1" s="6" t="s">
        <v>229</v>
      </c>
      <c r="M1" s="6" t="s">
        <v>230</v>
      </c>
      <c r="N1" s="6" t="s">
        <v>8</v>
      </c>
      <c r="O1" s="6" t="s">
        <v>167</v>
      </c>
      <c r="P1" s="6" t="s">
        <v>9</v>
      </c>
      <c r="Q1" s="6" t="s">
        <v>737</v>
      </c>
      <c r="R1" s="6" t="s">
        <v>10</v>
      </c>
      <c r="S1" s="6" t="s">
        <v>11</v>
      </c>
      <c r="T1" s="6" t="s">
        <v>12</v>
      </c>
      <c r="U1" s="6" t="s">
        <v>13</v>
      </c>
      <c r="V1" s="6" t="s">
        <v>14</v>
      </c>
      <c r="W1" s="21" t="s">
        <v>378</v>
      </c>
    </row>
    <row r="2" spans="1:23" x14ac:dyDescent="0.25">
      <c r="A2" s="1">
        <v>1</v>
      </c>
      <c r="B2" s="2" t="s">
        <v>253</v>
      </c>
      <c r="C2" s="2"/>
      <c r="D2" s="2"/>
      <c r="E2" s="2" t="s">
        <v>617</v>
      </c>
      <c r="F2" s="2"/>
      <c r="G2" s="2" t="s">
        <v>16</v>
      </c>
      <c r="H2" s="2">
        <v>76</v>
      </c>
      <c r="I2" s="2">
        <v>50</v>
      </c>
      <c r="J2" s="2">
        <v>66</v>
      </c>
      <c r="K2" s="2">
        <v>52</v>
      </c>
      <c r="L2" s="2">
        <v>61</v>
      </c>
      <c r="M2" s="2">
        <v>68</v>
      </c>
      <c r="N2" s="2">
        <v>60</v>
      </c>
      <c r="O2" s="2">
        <v>52</v>
      </c>
      <c r="P2" s="2" t="s">
        <v>21</v>
      </c>
      <c r="Q2" s="2" t="s">
        <v>20</v>
      </c>
      <c r="R2" s="2">
        <v>485</v>
      </c>
      <c r="S2" s="2">
        <v>60.62</v>
      </c>
      <c r="T2" s="2">
        <v>16</v>
      </c>
      <c r="U2" s="2" t="s">
        <v>92</v>
      </c>
      <c r="V2" s="2"/>
      <c r="W2" s="13"/>
    </row>
    <row r="3" spans="1:23" x14ac:dyDescent="0.25">
      <c r="A3" s="1"/>
      <c r="B3" s="2"/>
      <c r="C3" s="2"/>
      <c r="D3" s="2"/>
      <c r="E3" s="2"/>
      <c r="F3" s="2"/>
      <c r="G3" s="2" t="s">
        <v>17</v>
      </c>
      <c r="H3" s="2">
        <v>57</v>
      </c>
      <c r="I3" s="2">
        <v>33</v>
      </c>
      <c r="J3" s="2">
        <v>49</v>
      </c>
      <c r="K3" s="2">
        <v>44</v>
      </c>
      <c r="L3" s="2">
        <v>52</v>
      </c>
      <c r="M3" s="2">
        <v>57</v>
      </c>
      <c r="N3" s="2">
        <v>43</v>
      </c>
      <c r="O3" s="2">
        <v>62</v>
      </c>
      <c r="P3" s="2"/>
      <c r="Q3" s="2" t="s">
        <v>20</v>
      </c>
      <c r="R3" s="2">
        <v>397</v>
      </c>
      <c r="S3" s="2">
        <v>49.62</v>
      </c>
      <c r="T3" s="2">
        <v>19</v>
      </c>
      <c r="U3" s="2"/>
      <c r="V3" s="2"/>
      <c r="W3" s="2"/>
    </row>
    <row r="4" spans="1:23" x14ac:dyDescent="0.25">
      <c r="A4" s="1">
        <v>2</v>
      </c>
      <c r="B4" s="9" t="s">
        <v>254</v>
      </c>
      <c r="C4" s="9"/>
      <c r="D4" s="2"/>
      <c r="E4" s="2" t="s">
        <v>618</v>
      </c>
      <c r="F4" s="2"/>
      <c r="G4" s="2" t="s">
        <v>16</v>
      </c>
      <c r="H4" s="2">
        <v>95</v>
      </c>
      <c r="I4" s="2">
        <v>88</v>
      </c>
      <c r="J4" s="2">
        <v>90</v>
      </c>
      <c r="K4" s="2">
        <v>82</v>
      </c>
      <c r="L4" s="2">
        <v>85</v>
      </c>
      <c r="M4" s="2">
        <v>89</v>
      </c>
      <c r="N4" s="2">
        <v>96</v>
      </c>
      <c r="O4" s="2">
        <v>83</v>
      </c>
      <c r="P4" s="2" t="s">
        <v>21</v>
      </c>
      <c r="Q4" s="2" t="s">
        <v>19</v>
      </c>
      <c r="R4" s="2">
        <v>708</v>
      </c>
      <c r="S4" s="2">
        <v>88.5</v>
      </c>
      <c r="T4" s="2">
        <v>5</v>
      </c>
      <c r="U4" s="2" t="s">
        <v>107</v>
      </c>
      <c r="V4" s="2"/>
      <c r="W4" s="2"/>
    </row>
    <row r="5" spans="1:23" x14ac:dyDescent="0.25">
      <c r="A5" s="1"/>
      <c r="B5" s="2"/>
      <c r="C5" s="2"/>
      <c r="D5" s="2"/>
      <c r="E5" s="2"/>
      <c r="F5" s="2"/>
      <c r="G5" s="2" t="s">
        <v>17</v>
      </c>
      <c r="H5" s="2">
        <v>97</v>
      </c>
      <c r="I5" s="2">
        <v>76</v>
      </c>
      <c r="J5" s="2">
        <v>79</v>
      </c>
      <c r="K5" s="2">
        <v>72</v>
      </c>
      <c r="L5" s="2">
        <v>89</v>
      </c>
      <c r="M5" s="2">
        <v>86</v>
      </c>
      <c r="N5" s="2">
        <v>80</v>
      </c>
      <c r="O5" s="2">
        <v>98</v>
      </c>
      <c r="P5" s="2"/>
      <c r="Q5" s="2" t="s">
        <v>20</v>
      </c>
      <c r="R5" s="2">
        <v>677</v>
      </c>
      <c r="S5" s="2">
        <v>84.62</v>
      </c>
      <c r="T5" s="2">
        <v>6</v>
      </c>
      <c r="U5" s="2"/>
      <c r="V5" s="2"/>
      <c r="W5" s="2"/>
    </row>
    <row r="6" spans="1:23" x14ac:dyDescent="0.25">
      <c r="A6" s="1">
        <v>3</v>
      </c>
      <c r="B6" s="2" t="s">
        <v>255</v>
      </c>
      <c r="C6" s="2"/>
      <c r="D6" s="2"/>
      <c r="E6" s="2" t="s">
        <v>619</v>
      </c>
      <c r="F6" s="2"/>
      <c r="G6" s="2" t="s">
        <v>16</v>
      </c>
      <c r="H6" s="2">
        <v>100</v>
      </c>
      <c r="I6" s="2">
        <v>85</v>
      </c>
      <c r="J6" s="2">
        <v>91</v>
      </c>
      <c r="K6" s="2">
        <v>90</v>
      </c>
      <c r="L6" s="2">
        <v>98</v>
      </c>
      <c r="M6" s="2">
        <v>90</v>
      </c>
      <c r="N6" s="2">
        <v>98</v>
      </c>
      <c r="O6" s="2">
        <v>84</v>
      </c>
      <c r="P6" s="2" t="s">
        <v>21</v>
      </c>
      <c r="Q6" s="2" t="s">
        <v>20</v>
      </c>
      <c r="R6" s="2">
        <v>736</v>
      </c>
      <c r="S6" s="2">
        <v>92</v>
      </c>
      <c r="T6" s="2">
        <v>4</v>
      </c>
      <c r="U6" s="2" t="s">
        <v>20</v>
      </c>
      <c r="V6" s="2"/>
      <c r="W6" s="2"/>
    </row>
    <row r="7" spans="1:23" x14ac:dyDescent="0.25">
      <c r="A7" s="1"/>
      <c r="B7" s="2"/>
      <c r="C7" s="2"/>
      <c r="D7" s="2"/>
      <c r="E7" s="2"/>
      <c r="F7" s="2"/>
      <c r="G7" s="2" t="s">
        <v>17</v>
      </c>
      <c r="H7" s="2">
        <v>98</v>
      </c>
      <c r="I7" s="2">
        <v>72</v>
      </c>
      <c r="J7" s="2">
        <v>90</v>
      </c>
      <c r="K7" s="2">
        <v>83</v>
      </c>
      <c r="L7" s="2">
        <v>98</v>
      </c>
      <c r="M7" s="2">
        <v>97</v>
      </c>
      <c r="N7" s="2">
        <v>94</v>
      </c>
      <c r="O7" s="2">
        <v>94</v>
      </c>
      <c r="P7" s="2"/>
      <c r="Q7" s="2" t="s">
        <v>20</v>
      </c>
      <c r="R7" s="2">
        <v>726</v>
      </c>
      <c r="S7" s="2">
        <v>90.75</v>
      </c>
      <c r="T7" s="2">
        <v>3</v>
      </c>
      <c r="U7" s="2" t="s">
        <v>20</v>
      </c>
      <c r="V7" s="2"/>
      <c r="W7" s="2"/>
    </row>
    <row r="8" spans="1:23" x14ac:dyDescent="0.25">
      <c r="A8" s="1">
        <v>4</v>
      </c>
      <c r="B8" s="2" t="s">
        <v>256</v>
      </c>
      <c r="C8" s="2"/>
      <c r="D8" s="2"/>
      <c r="E8" s="2" t="s">
        <v>620</v>
      </c>
      <c r="F8" s="2"/>
      <c r="G8" s="2" t="s">
        <v>16</v>
      </c>
      <c r="H8" s="2">
        <v>86</v>
      </c>
      <c r="I8" s="2">
        <v>71</v>
      </c>
      <c r="J8" s="2">
        <v>87</v>
      </c>
      <c r="K8" s="2">
        <v>58</v>
      </c>
      <c r="L8" s="2">
        <v>82</v>
      </c>
      <c r="M8" s="2">
        <v>86</v>
      </c>
      <c r="N8" s="2">
        <v>77</v>
      </c>
      <c r="O8" s="2">
        <v>75</v>
      </c>
      <c r="P8" s="2" t="s">
        <v>21</v>
      </c>
      <c r="Q8" s="2" t="s">
        <v>20</v>
      </c>
      <c r="R8" s="2">
        <v>622</v>
      </c>
      <c r="S8" s="2">
        <v>77.75</v>
      </c>
      <c r="T8" s="2">
        <v>11</v>
      </c>
      <c r="U8" s="2" t="s">
        <v>20</v>
      </c>
      <c r="V8" s="2"/>
      <c r="W8" s="2"/>
    </row>
    <row r="9" spans="1:23" x14ac:dyDescent="0.25">
      <c r="A9" s="1"/>
      <c r="B9" s="2"/>
      <c r="C9" s="2"/>
      <c r="D9" s="2"/>
      <c r="E9" s="2"/>
      <c r="F9" s="2"/>
      <c r="G9" s="2" t="s">
        <v>17</v>
      </c>
      <c r="H9" s="2">
        <v>78</v>
      </c>
      <c r="I9" s="2">
        <v>53</v>
      </c>
      <c r="J9" s="2">
        <v>73</v>
      </c>
      <c r="K9" s="2">
        <v>75</v>
      </c>
      <c r="L9" s="2">
        <v>79</v>
      </c>
      <c r="M9" s="2">
        <v>78</v>
      </c>
      <c r="N9" s="2">
        <v>81</v>
      </c>
      <c r="O9" s="2">
        <v>73</v>
      </c>
      <c r="P9" s="2"/>
      <c r="Q9" s="2" t="s">
        <v>20</v>
      </c>
      <c r="R9" s="2">
        <v>590</v>
      </c>
      <c r="S9" s="2">
        <v>73.75</v>
      </c>
      <c r="T9" s="2">
        <v>11</v>
      </c>
      <c r="U9" s="2" t="s">
        <v>20</v>
      </c>
      <c r="V9" s="2"/>
      <c r="W9" s="2"/>
    </row>
    <row r="10" spans="1:23" x14ac:dyDescent="0.25">
      <c r="A10" s="1">
        <v>5</v>
      </c>
      <c r="B10" s="2" t="s">
        <v>257</v>
      </c>
      <c r="C10" s="2"/>
      <c r="D10" s="2"/>
      <c r="E10" s="2" t="s">
        <v>621</v>
      </c>
      <c r="F10" s="2"/>
      <c r="G10" s="2" t="s">
        <v>16</v>
      </c>
      <c r="H10" s="2">
        <v>92</v>
      </c>
      <c r="I10" s="2">
        <v>86</v>
      </c>
      <c r="J10" s="2">
        <v>72</v>
      </c>
      <c r="K10" s="2">
        <v>81</v>
      </c>
      <c r="L10" s="2">
        <v>62</v>
      </c>
      <c r="M10" s="2">
        <v>74</v>
      </c>
      <c r="N10" s="2">
        <v>82</v>
      </c>
      <c r="O10" s="2">
        <v>73</v>
      </c>
      <c r="P10" s="2" t="s">
        <v>21</v>
      </c>
      <c r="Q10" s="2" t="s">
        <v>20</v>
      </c>
      <c r="R10" s="2">
        <v>622</v>
      </c>
      <c r="S10" s="2">
        <v>77.75</v>
      </c>
      <c r="T10" s="2">
        <v>11</v>
      </c>
      <c r="U10" s="2" t="s">
        <v>92</v>
      </c>
      <c r="V10" s="2"/>
      <c r="W10" s="2"/>
    </row>
    <row r="11" spans="1:23" x14ac:dyDescent="0.25">
      <c r="A11" s="1"/>
      <c r="B11" s="2"/>
      <c r="C11" s="2"/>
      <c r="D11" s="2"/>
      <c r="E11" s="2"/>
      <c r="F11" s="2"/>
      <c r="G11" s="2" t="s">
        <v>17</v>
      </c>
      <c r="H11" s="2">
        <v>86</v>
      </c>
      <c r="I11" s="2">
        <v>68</v>
      </c>
      <c r="J11" s="2">
        <v>58</v>
      </c>
      <c r="K11" s="2">
        <v>67</v>
      </c>
      <c r="L11" s="2">
        <v>81</v>
      </c>
      <c r="M11" s="2">
        <v>81</v>
      </c>
      <c r="N11" s="2">
        <v>61</v>
      </c>
      <c r="O11" s="2">
        <v>77</v>
      </c>
      <c r="P11" s="2"/>
      <c r="Q11" s="2" t="s">
        <v>20</v>
      </c>
      <c r="R11" s="2">
        <v>579</v>
      </c>
      <c r="S11" s="2">
        <v>72.37</v>
      </c>
      <c r="T11" s="2">
        <v>12</v>
      </c>
      <c r="U11" s="2" t="s">
        <v>92</v>
      </c>
      <c r="V11" s="2"/>
      <c r="W11" s="2"/>
    </row>
    <row r="12" spans="1:23" x14ac:dyDescent="0.25">
      <c r="A12" s="1">
        <v>6</v>
      </c>
      <c r="B12" s="9" t="s">
        <v>258</v>
      </c>
      <c r="C12" s="9"/>
      <c r="D12" s="2"/>
      <c r="E12" s="2" t="s">
        <v>622</v>
      </c>
      <c r="F12" s="2"/>
      <c r="G12" s="2" t="s">
        <v>16</v>
      </c>
      <c r="H12" s="2">
        <v>96</v>
      </c>
      <c r="I12" s="2">
        <v>92</v>
      </c>
      <c r="J12" s="2">
        <v>99</v>
      </c>
      <c r="K12" s="2">
        <v>92</v>
      </c>
      <c r="L12" s="2">
        <v>96</v>
      </c>
      <c r="M12" s="2">
        <v>90</v>
      </c>
      <c r="N12" s="2">
        <v>100</v>
      </c>
      <c r="O12" s="2">
        <v>96</v>
      </c>
      <c r="P12" s="2" t="s">
        <v>20</v>
      </c>
      <c r="Q12" s="2" t="s">
        <v>20</v>
      </c>
      <c r="R12" s="2">
        <v>761</v>
      </c>
      <c r="S12" s="2">
        <v>95.12</v>
      </c>
      <c r="T12" s="2">
        <v>2</v>
      </c>
      <c r="U12" s="2" t="s">
        <v>107</v>
      </c>
      <c r="V12" s="2"/>
      <c r="W12" s="2"/>
    </row>
    <row r="13" spans="1:23" x14ac:dyDescent="0.25">
      <c r="A13" s="1"/>
      <c r="B13" s="2"/>
      <c r="C13" s="2"/>
      <c r="D13" s="2"/>
      <c r="E13" s="2"/>
      <c r="F13" s="2"/>
      <c r="G13" s="2" t="s">
        <v>17</v>
      </c>
      <c r="H13" s="2">
        <v>97</v>
      </c>
      <c r="I13" s="2">
        <v>78</v>
      </c>
      <c r="J13" s="2">
        <v>96</v>
      </c>
      <c r="K13" s="2">
        <v>93</v>
      </c>
      <c r="L13" s="2">
        <v>100</v>
      </c>
      <c r="M13" s="2">
        <v>97</v>
      </c>
      <c r="N13" s="2">
        <v>97</v>
      </c>
      <c r="O13" s="2">
        <v>100</v>
      </c>
      <c r="P13" s="2"/>
      <c r="Q13" s="2" t="s">
        <v>20</v>
      </c>
      <c r="R13" s="2">
        <v>758</v>
      </c>
      <c r="S13" s="2">
        <v>94.75</v>
      </c>
      <c r="T13" s="2">
        <v>2</v>
      </c>
      <c r="U13" s="2" t="s">
        <v>107</v>
      </c>
      <c r="V13" s="2"/>
      <c r="W13" s="2"/>
    </row>
    <row r="14" spans="1:23" x14ac:dyDescent="0.25">
      <c r="A14" s="1">
        <v>7</v>
      </c>
      <c r="B14" s="2" t="s">
        <v>259</v>
      </c>
      <c r="C14" s="2"/>
      <c r="D14" s="2" t="s">
        <v>43</v>
      </c>
      <c r="E14" s="12" t="s">
        <v>729</v>
      </c>
      <c r="F14" s="2"/>
      <c r="G14" s="2" t="s">
        <v>16</v>
      </c>
      <c r="H14" s="2">
        <v>99</v>
      </c>
      <c r="I14" s="2">
        <v>90</v>
      </c>
      <c r="J14" s="2">
        <v>68</v>
      </c>
      <c r="K14" s="2">
        <v>76</v>
      </c>
      <c r="L14" s="2">
        <v>86</v>
      </c>
      <c r="M14" s="2">
        <v>87</v>
      </c>
      <c r="N14" s="2">
        <v>93</v>
      </c>
      <c r="O14" s="2">
        <v>82</v>
      </c>
      <c r="P14" s="2" t="s">
        <v>21</v>
      </c>
      <c r="Q14" s="2" t="s">
        <v>20</v>
      </c>
      <c r="R14" s="10">
        <v>681</v>
      </c>
      <c r="S14" s="11">
        <v>85.12</v>
      </c>
      <c r="T14" s="11">
        <v>7</v>
      </c>
      <c r="U14" s="11" t="s">
        <v>20</v>
      </c>
      <c r="V14" s="2"/>
      <c r="W14" s="2"/>
    </row>
    <row r="15" spans="1:23" x14ac:dyDescent="0.25">
      <c r="A15" s="1"/>
      <c r="B15" s="2"/>
      <c r="C15" s="2"/>
      <c r="D15" s="2"/>
      <c r="E15" s="2"/>
      <c r="F15" s="2"/>
      <c r="G15" s="2" t="s">
        <v>17</v>
      </c>
      <c r="H15" s="2">
        <v>99</v>
      </c>
      <c r="I15" s="2">
        <v>84</v>
      </c>
      <c r="J15" s="2">
        <v>66</v>
      </c>
      <c r="K15" s="2">
        <v>69</v>
      </c>
      <c r="L15" s="2">
        <v>77</v>
      </c>
      <c r="M15" s="2">
        <v>86</v>
      </c>
      <c r="N15" s="2">
        <v>75</v>
      </c>
      <c r="O15" s="2">
        <v>86</v>
      </c>
      <c r="P15" s="2"/>
      <c r="Q15" s="2" t="s">
        <v>20</v>
      </c>
      <c r="R15" s="2">
        <v>642</v>
      </c>
      <c r="S15" s="2">
        <v>80.25</v>
      </c>
      <c r="T15" s="2">
        <v>7</v>
      </c>
      <c r="U15" s="2" t="s">
        <v>20</v>
      </c>
      <c r="V15" s="2"/>
      <c r="W15" s="2"/>
    </row>
    <row r="16" spans="1:23" x14ac:dyDescent="0.25">
      <c r="A16" s="1">
        <v>8</v>
      </c>
      <c r="B16" s="9" t="s">
        <v>260</v>
      </c>
      <c r="C16" s="9"/>
      <c r="D16" s="2"/>
      <c r="E16" s="2" t="s">
        <v>623</v>
      </c>
      <c r="F16" s="2"/>
      <c r="G16" s="9" t="s">
        <v>16</v>
      </c>
      <c r="H16" s="9">
        <v>100</v>
      </c>
      <c r="I16" s="9">
        <v>98</v>
      </c>
      <c r="J16" s="9">
        <v>97</v>
      </c>
      <c r="K16" s="9">
        <v>89</v>
      </c>
      <c r="L16" s="9">
        <v>100</v>
      </c>
      <c r="M16" s="9">
        <v>93</v>
      </c>
      <c r="N16" s="9">
        <v>97</v>
      </c>
      <c r="O16" s="9">
        <v>80</v>
      </c>
      <c r="P16" s="9" t="s">
        <v>19</v>
      </c>
      <c r="Q16" s="9" t="s">
        <v>20</v>
      </c>
      <c r="R16" s="9">
        <v>754</v>
      </c>
      <c r="S16" s="9">
        <v>94.25</v>
      </c>
      <c r="T16" s="9">
        <v>3</v>
      </c>
      <c r="U16" s="9" t="s">
        <v>92</v>
      </c>
      <c r="V16" s="2"/>
      <c r="W16" s="2"/>
    </row>
    <row r="17" spans="1:23" x14ac:dyDescent="0.25">
      <c r="A17" s="1"/>
      <c r="B17" s="2"/>
      <c r="C17" s="2"/>
      <c r="D17" s="2"/>
      <c r="E17" s="2"/>
      <c r="F17" s="2"/>
      <c r="G17" s="9" t="s">
        <v>17</v>
      </c>
      <c r="H17" s="9">
        <v>74</v>
      </c>
      <c r="I17" s="9">
        <v>83</v>
      </c>
      <c r="J17" s="9">
        <v>93</v>
      </c>
      <c r="K17" s="9">
        <v>82</v>
      </c>
      <c r="L17" s="9">
        <v>90</v>
      </c>
      <c r="M17" s="9">
        <v>93</v>
      </c>
      <c r="N17" s="9">
        <v>90</v>
      </c>
      <c r="O17" s="9">
        <v>78</v>
      </c>
      <c r="P17" s="9"/>
      <c r="Q17" s="9" t="s">
        <v>20</v>
      </c>
      <c r="R17" s="9">
        <v>683</v>
      </c>
      <c r="S17" s="9">
        <v>85.37</v>
      </c>
      <c r="T17" s="9">
        <v>5</v>
      </c>
      <c r="U17" s="9" t="s">
        <v>92</v>
      </c>
      <c r="V17" s="2"/>
      <c r="W17" s="2"/>
    </row>
    <row r="18" spans="1:23" x14ac:dyDescent="0.25">
      <c r="A18" s="1">
        <v>9</v>
      </c>
      <c r="B18" s="2" t="s">
        <v>261</v>
      </c>
      <c r="C18" s="2"/>
      <c r="D18" s="2"/>
      <c r="E18" s="2" t="s">
        <v>624</v>
      </c>
      <c r="F18" s="2"/>
      <c r="G18" s="9" t="s">
        <v>16</v>
      </c>
      <c r="H18" s="9">
        <v>80</v>
      </c>
      <c r="I18" s="9">
        <v>56</v>
      </c>
      <c r="J18" s="9">
        <v>60</v>
      </c>
      <c r="K18" s="9">
        <v>20</v>
      </c>
      <c r="L18" s="9">
        <v>63</v>
      </c>
      <c r="M18" s="9">
        <v>65</v>
      </c>
      <c r="N18" s="9">
        <v>34</v>
      </c>
      <c r="O18" s="9">
        <v>59</v>
      </c>
      <c r="P18" s="9" t="s">
        <v>42</v>
      </c>
      <c r="Q18" s="9" t="s">
        <v>20</v>
      </c>
      <c r="R18" s="9">
        <v>437</v>
      </c>
      <c r="S18" s="9">
        <v>54.62</v>
      </c>
      <c r="T18" s="9">
        <v>19</v>
      </c>
      <c r="U18" s="9" t="s">
        <v>92</v>
      </c>
      <c r="V18" s="2"/>
      <c r="W18" s="2"/>
    </row>
    <row r="19" spans="1:23" x14ac:dyDescent="0.25">
      <c r="A19" s="1"/>
      <c r="B19" s="2"/>
      <c r="C19" s="2"/>
      <c r="D19" s="2"/>
      <c r="E19" s="2"/>
      <c r="F19" s="2"/>
      <c r="G19" s="9" t="s">
        <v>17</v>
      </c>
      <c r="H19" s="9">
        <v>81</v>
      </c>
      <c r="I19" s="9">
        <v>50</v>
      </c>
      <c r="J19" s="9">
        <v>61</v>
      </c>
      <c r="K19" s="9">
        <v>37</v>
      </c>
      <c r="L19" s="9">
        <v>47</v>
      </c>
      <c r="M19" s="9">
        <v>43</v>
      </c>
      <c r="N19" s="9">
        <v>49</v>
      </c>
      <c r="O19" s="9">
        <v>85</v>
      </c>
      <c r="P19" s="9"/>
      <c r="Q19" s="9" t="s">
        <v>20</v>
      </c>
      <c r="R19" s="9">
        <v>453</v>
      </c>
      <c r="S19" s="9">
        <v>56.62</v>
      </c>
      <c r="T19" s="9">
        <v>16</v>
      </c>
      <c r="U19" s="9" t="s">
        <v>92</v>
      </c>
      <c r="V19" s="2"/>
      <c r="W19" s="2"/>
    </row>
    <row r="20" spans="1:23" x14ac:dyDescent="0.25">
      <c r="A20" s="1">
        <v>10</v>
      </c>
      <c r="B20" s="2" t="s">
        <v>262</v>
      </c>
      <c r="C20" s="2"/>
      <c r="D20" s="2"/>
      <c r="E20" s="2" t="s">
        <v>625</v>
      </c>
      <c r="F20" s="2"/>
      <c r="G20" s="9" t="s">
        <v>16</v>
      </c>
      <c r="H20" s="9">
        <v>91</v>
      </c>
      <c r="I20" s="9">
        <v>51</v>
      </c>
      <c r="J20" s="9">
        <v>82</v>
      </c>
      <c r="K20" s="9">
        <v>49</v>
      </c>
      <c r="L20" s="9">
        <v>78</v>
      </c>
      <c r="M20" s="9">
        <v>60</v>
      </c>
      <c r="N20" s="9">
        <v>82</v>
      </c>
      <c r="O20" s="9">
        <v>65</v>
      </c>
      <c r="P20" s="9" t="s">
        <v>21</v>
      </c>
      <c r="Q20" s="9" t="s">
        <v>20</v>
      </c>
      <c r="R20" s="9">
        <v>558</v>
      </c>
      <c r="S20" s="9">
        <v>69.75</v>
      </c>
      <c r="T20" s="9">
        <v>14</v>
      </c>
      <c r="U20" s="9" t="s">
        <v>92</v>
      </c>
      <c r="V20" s="2"/>
      <c r="W20" s="2" t="s">
        <v>350</v>
      </c>
    </row>
    <row r="21" spans="1:23" x14ac:dyDescent="0.25">
      <c r="A21" s="1"/>
      <c r="B21" s="2"/>
      <c r="C21" s="2"/>
      <c r="D21" s="2"/>
      <c r="E21" s="2"/>
      <c r="F21" s="2"/>
      <c r="G21" s="9" t="s">
        <v>17</v>
      </c>
      <c r="H21" s="9">
        <v>86</v>
      </c>
      <c r="I21" s="9">
        <v>38</v>
      </c>
      <c r="J21" s="9">
        <v>63</v>
      </c>
      <c r="K21" s="9">
        <v>60</v>
      </c>
      <c r="L21" s="9">
        <v>65</v>
      </c>
      <c r="M21" s="9">
        <v>69</v>
      </c>
      <c r="N21" s="9">
        <v>56</v>
      </c>
      <c r="O21" s="9">
        <v>71</v>
      </c>
      <c r="P21" s="9"/>
      <c r="Q21" s="9" t="s">
        <v>20</v>
      </c>
      <c r="R21" s="9">
        <v>508</v>
      </c>
      <c r="S21" s="9">
        <v>63.5</v>
      </c>
      <c r="T21" s="9">
        <v>14</v>
      </c>
      <c r="U21" s="9" t="s">
        <v>92</v>
      </c>
      <c r="V21" s="2"/>
      <c r="W21" s="2"/>
    </row>
    <row r="22" spans="1:23" x14ac:dyDescent="0.25">
      <c r="A22" s="1">
        <v>11</v>
      </c>
      <c r="B22" s="2" t="s">
        <v>263</v>
      </c>
      <c r="C22" s="2"/>
      <c r="D22" s="2"/>
      <c r="E22" s="2" t="s">
        <v>626</v>
      </c>
      <c r="F22" s="2"/>
      <c r="G22" s="9" t="s">
        <v>16</v>
      </c>
      <c r="H22" s="9">
        <v>100</v>
      </c>
      <c r="I22" s="9">
        <v>65</v>
      </c>
      <c r="J22" s="9">
        <v>75</v>
      </c>
      <c r="K22" s="9">
        <v>69</v>
      </c>
      <c r="L22" s="9">
        <v>78</v>
      </c>
      <c r="M22" s="9">
        <v>72</v>
      </c>
      <c r="N22" s="9">
        <v>86</v>
      </c>
      <c r="O22" s="9">
        <v>83</v>
      </c>
      <c r="P22" s="9" t="s">
        <v>42</v>
      </c>
      <c r="Q22" s="9" t="s">
        <v>20</v>
      </c>
      <c r="R22" s="9">
        <v>628</v>
      </c>
      <c r="S22" s="9">
        <v>78.5</v>
      </c>
      <c r="T22" s="9">
        <v>10</v>
      </c>
      <c r="U22" s="9" t="s">
        <v>92</v>
      </c>
      <c r="V22" s="2"/>
      <c r="W22" s="2"/>
    </row>
    <row r="23" spans="1:23" x14ac:dyDescent="0.25">
      <c r="A23" s="1"/>
      <c r="B23" s="2"/>
      <c r="C23" s="2"/>
      <c r="D23" s="2"/>
      <c r="E23" s="2"/>
      <c r="F23" s="2"/>
      <c r="G23" s="9" t="s">
        <v>17</v>
      </c>
      <c r="H23" s="9">
        <v>73</v>
      </c>
      <c r="I23" s="9">
        <v>43</v>
      </c>
      <c r="J23" s="9">
        <v>65</v>
      </c>
      <c r="K23" s="9">
        <v>68</v>
      </c>
      <c r="L23" s="9">
        <v>69</v>
      </c>
      <c r="M23" s="9">
        <v>74</v>
      </c>
      <c r="N23" s="9">
        <v>82</v>
      </c>
      <c r="O23" s="9">
        <v>86</v>
      </c>
      <c r="P23" s="9"/>
      <c r="Q23" s="9" t="s">
        <v>20</v>
      </c>
      <c r="R23" s="9">
        <v>560</v>
      </c>
      <c r="S23" s="9">
        <v>70</v>
      </c>
      <c r="T23" s="9">
        <v>13</v>
      </c>
      <c r="U23" s="9" t="s">
        <v>92</v>
      </c>
      <c r="V23" s="2"/>
      <c r="W23" s="2"/>
    </row>
    <row r="24" spans="1:23" x14ac:dyDescent="0.25">
      <c r="A24" s="1">
        <v>12</v>
      </c>
      <c r="B24" s="2" t="s">
        <v>264</v>
      </c>
      <c r="C24" s="2"/>
      <c r="D24" s="2"/>
      <c r="E24" s="2" t="s">
        <v>627</v>
      </c>
      <c r="F24" s="2"/>
      <c r="G24" s="9" t="s">
        <v>16</v>
      </c>
      <c r="H24" s="9">
        <v>92</v>
      </c>
      <c r="I24" s="9">
        <v>58</v>
      </c>
      <c r="J24" s="9">
        <v>78</v>
      </c>
      <c r="K24" s="9">
        <v>71</v>
      </c>
      <c r="L24" s="9">
        <v>55</v>
      </c>
      <c r="M24" s="9">
        <v>67</v>
      </c>
      <c r="N24" s="9">
        <v>74</v>
      </c>
      <c r="O24" s="9">
        <v>59</v>
      </c>
      <c r="P24" s="9" t="s">
        <v>21</v>
      </c>
      <c r="Q24" s="9" t="s">
        <v>20</v>
      </c>
      <c r="R24" s="9">
        <v>554</v>
      </c>
      <c r="S24" s="9">
        <v>69.25</v>
      </c>
      <c r="T24" s="9">
        <v>15</v>
      </c>
      <c r="U24" s="9" t="s">
        <v>92</v>
      </c>
      <c r="V24" s="2"/>
      <c r="W24" s="2"/>
    </row>
    <row r="25" spans="1:23" x14ac:dyDescent="0.25">
      <c r="A25" s="1"/>
      <c r="B25" s="2"/>
      <c r="C25" s="2"/>
      <c r="D25" s="2"/>
      <c r="E25" s="2"/>
      <c r="F25" s="2"/>
      <c r="G25" s="9" t="s">
        <v>17</v>
      </c>
      <c r="H25" s="9">
        <v>73</v>
      </c>
      <c r="I25" s="9">
        <v>45</v>
      </c>
      <c r="J25" s="9">
        <v>59</v>
      </c>
      <c r="K25" s="9">
        <v>59</v>
      </c>
      <c r="L25" s="9">
        <v>64</v>
      </c>
      <c r="M25" s="9">
        <v>71</v>
      </c>
      <c r="N25" s="9">
        <v>51</v>
      </c>
      <c r="O25" s="9">
        <v>73</v>
      </c>
      <c r="P25" s="9"/>
      <c r="Q25" s="9" t="s">
        <v>20</v>
      </c>
      <c r="R25" s="9">
        <v>495</v>
      </c>
      <c r="S25" s="9">
        <v>61.87</v>
      </c>
      <c r="T25" s="9">
        <v>15</v>
      </c>
      <c r="U25" s="9" t="s">
        <v>92</v>
      </c>
      <c r="V25" s="2"/>
      <c r="W25" s="2"/>
    </row>
    <row r="26" spans="1:23" x14ac:dyDescent="0.25">
      <c r="A26" s="1">
        <v>13</v>
      </c>
      <c r="B26" s="2" t="s">
        <v>265</v>
      </c>
      <c r="C26" s="2"/>
      <c r="D26" s="2"/>
      <c r="E26" s="2" t="s">
        <v>628</v>
      </c>
      <c r="F26" s="2"/>
      <c r="G26" s="9" t="s">
        <v>16</v>
      </c>
      <c r="H26" s="9">
        <v>100</v>
      </c>
      <c r="I26" s="9">
        <v>98</v>
      </c>
      <c r="J26" s="9">
        <v>97</v>
      </c>
      <c r="K26" s="9">
        <v>97</v>
      </c>
      <c r="L26" s="9">
        <v>100</v>
      </c>
      <c r="M26" s="9">
        <v>92</v>
      </c>
      <c r="N26" s="9">
        <v>98</v>
      </c>
      <c r="O26" s="9">
        <v>91</v>
      </c>
      <c r="P26" s="9" t="s">
        <v>20</v>
      </c>
      <c r="Q26" s="9" t="s">
        <v>20</v>
      </c>
      <c r="R26" s="9">
        <v>773</v>
      </c>
      <c r="S26" s="9">
        <v>96.62</v>
      </c>
      <c r="T26" s="9">
        <v>1</v>
      </c>
      <c r="U26" s="9" t="s">
        <v>107</v>
      </c>
      <c r="V26" s="2"/>
      <c r="W26" s="2"/>
    </row>
    <row r="27" spans="1:23" x14ac:dyDescent="0.25">
      <c r="A27" s="1"/>
      <c r="B27" s="2"/>
      <c r="C27" s="2"/>
      <c r="D27" s="2"/>
      <c r="E27" s="2"/>
      <c r="F27" s="2"/>
      <c r="G27" s="9" t="s">
        <v>17</v>
      </c>
      <c r="H27" s="9">
        <v>94</v>
      </c>
      <c r="I27" s="9">
        <v>83</v>
      </c>
      <c r="J27" s="9">
        <v>100</v>
      </c>
      <c r="K27" s="9">
        <v>90</v>
      </c>
      <c r="L27" s="9">
        <v>100</v>
      </c>
      <c r="M27" s="9">
        <v>100</v>
      </c>
      <c r="N27" s="9">
        <v>100</v>
      </c>
      <c r="O27" s="9">
        <v>98</v>
      </c>
      <c r="P27" s="9"/>
      <c r="Q27" s="9" t="s">
        <v>20</v>
      </c>
      <c r="R27" s="9">
        <v>765</v>
      </c>
      <c r="S27" s="9">
        <v>95.62</v>
      </c>
      <c r="T27" s="9">
        <v>1</v>
      </c>
      <c r="U27" s="9" t="s">
        <v>107</v>
      </c>
      <c r="V27" s="2"/>
      <c r="W27" s="2"/>
    </row>
    <row r="28" spans="1:23" x14ac:dyDescent="0.25">
      <c r="A28" s="3">
        <v>14</v>
      </c>
      <c r="B28" s="4" t="s">
        <v>266</v>
      </c>
      <c r="C28" s="4"/>
      <c r="D28" s="4"/>
      <c r="E28" s="4" t="s">
        <v>629</v>
      </c>
      <c r="F28" s="4"/>
      <c r="G28" s="9" t="s">
        <v>16</v>
      </c>
      <c r="H28" s="9">
        <v>63</v>
      </c>
      <c r="I28" s="9">
        <v>45</v>
      </c>
      <c r="J28" s="9">
        <v>59</v>
      </c>
      <c r="K28" s="9">
        <v>14</v>
      </c>
      <c r="L28" s="9">
        <v>53</v>
      </c>
      <c r="M28" s="9">
        <v>54</v>
      </c>
      <c r="N28" s="9">
        <v>50</v>
      </c>
      <c r="O28" s="9">
        <v>40</v>
      </c>
      <c r="P28" s="9" t="s">
        <v>21</v>
      </c>
      <c r="Q28" s="9" t="s">
        <v>20</v>
      </c>
      <c r="R28" s="9">
        <v>378</v>
      </c>
      <c r="S28" s="9">
        <v>47.25</v>
      </c>
      <c r="T28" s="9">
        <v>20</v>
      </c>
      <c r="U28" s="15" t="s">
        <v>19</v>
      </c>
      <c r="V28" s="4"/>
      <c r="W28" s="2"/>
    </row>
    <row r="29" spans="1:23" x14ac:dyDescent="0.25">
      <c r="A29" s="1"/>
      <c r="B29" s="2"/>
      <c r="C29" s="2"/>
      <c r="D29" s="2"/>
      <c r="E29" s="2"/>
      <c r="F29" s="2"/>
      <c r="G29" s="9" t="s">
        <v>17</v>
      </c>
      <c r="H29" s="9">
        <v>74</v>
      </c>
      <c r="I29" s="9">
        <v>27</v>
      </c>
      <c r="J29" s="9">
        <v>51</v>
      </c>
      <c r="K29" s="9">
        <v>39</v>
      </c>
      <c r="L29" s="9">
        <v>50</v>
      </c>
      <c r="M29" s="9">
        <v>54</v>
      </c>
      <c r="N29" s="9">
        <v>57</v>
      </c>
      <c r="O29" s="9">
        <v>74</v>
      </c>
      <c r="P29" s="9"/>
      <c r="Q29" s="9" t="s">
        <v>20</v>
      </c>
      <c r="R29" s="9">
        <v>426</v>
      </c>
      <c r="S29" s="9">
        <v>53.25</v>
      </c>
      <c r="T29" s="9">
        <v>17</v>
      </c>
      <c r="U29" s="9" t="s">
        <v>92</v>
      </c>
      <c r="V29" s="2"/>
      <c r="W29" s="2"/>
    </row>
    <row r="30" spans="1:23" x14ac:dyDescent="0.25">
      <c r="A30" s="1">
        <v>15</v>
      </c>
      <c r="B30" s="2" t="s">
        <v>267</v>
      </c>
      <c r="C30" s="2"/>
      <c r="D30" s="2"/>
      <c r="E30" s="2" t="s">
        <v>630</v>
      </c>
      <c r="F30" s="2"/>
      <c r="G30" s="9" t="s">
        <v>16</v>
      </c>
      <c r="H30" s="9">
        <v>74</v>
      </c>
      <c r="I30" s="9">
        <v>40</v>
      </c>
      <c r="J30" s="9">
        <v>56</v>
      </c>
      <c r="K30" s="9">
        <v>48</v>
      </c>
      <c r="L30" s="9">
        <v>65</v>
      </c>
      <c r="M30" s="9">
        <v>56</v>
      </c>
      <c r="N30" s="9">
        <v>72</v>
      </c>
      <c r="O30" s="9">
        <v>44</v>
      </c>
      <c r="P30" s="9" t="s">
        <v>42</v>
      </c>
      <c r="Q30" s="9" t="s">
        <v>20</v>
      </c>
      <c r="R30" s="9">
        <v>455</v>
      </c>
      <c r="S30" s="9">
        <v>56.87</v>
      </c>
      <c r="T30" s="9">
        <v>18</v>
      </c>
      <c r="U30" s="9" t="s">
        <v>92</v>
      </c>
      <c r="V30" s="2"/>
      <c r="W30" s="2"/>
    </row>
    <row r="31" spans="1:23" x14ac:dyDescent="0.25">
      <c r="A31" s="1"/>
      <c r="B31" s="2"/>
      <c r="C31" s="2"/>
      <c r="D31" s="2"/>
      <c r="E31" s="2"/>
      <c r="F31" s="2"/>
      <c r="G31" s="9" t="s">
        <v>17</v>
      </c>
      <c r="H31" s="9">
        <v>56</v>
      </c>
      <c r="I31" s="9">
        <v>34</v>
      </c>
      <c r="J31" s="9">
        <v>53</v>
      </c>
      <c r="K31" s="9">
        <v>54</v>
      </c>
      <c r="L31" s="9">
        <v>50</v>
      </c>
      <c r="M31" s="9">
        <v>43</v>
      </c>
      <c r="N31" s="9">
        <v>57</v>
      </c>
      <c r="O31" s="9">
        <v>58</v>
      </c>
      <c r="P31" s="9"/>
      <c r="Q31" s="9" t="s">
        <v>20</v>
      </c>
      <c r="R31" s="9">
        <v>405</v>
      </c>
      <c r="S31" s="9">
        <v>50.62</v>
      </c>
      <c r="T31" s="9">
        <v>18</v>
      </c>
      <c r="U31" s="9" t="s">
        <v>377</v>
      </c>
      <c r="V31" s="2"/>
      <c r="W31" s="2"/>
    </row>
    <row r="32" spans="1:23" x14ac:dyDescent="0.25">
      <c r="A32" s="1">
        <v>16</v>
      </c>
      <c r="B32" s="2" t="s">
        <v>268</v>
      </c>
      <c r="C32" s="2"/>
      <c r="D32" s="2"/>
      <c r="E32" s="2" t="s">
        <v>631</v>
      </c>
      <c r="F32" s="2"/>
      <c r="G32" s="9" t="s">
        <v>16</v>
      </c>
      <c r="H32" s="9">
        <v>100</v>
      </c>
      <c r="I32" s="9">
        <v>72</v>
      </c>
      <c r="J32" s="9">
        <v>74</v>
      </c>
      <c r="K32" s="9">
        <v>57</v>
      </c>
      <c r="L32" s="9">
        <v>78</v>
      </c>
      <c r="M32" s="9">
        <v>78</v>
      </c>
      <c r="N32" s="9">
        <v>88</v>
      </c>
      <c r="O32" s="9">
        <v>63</v>
      </c>
      <c r="P32" s="9" t="s">
        <v>21</v>
      </c>
      <c r="Q32" s="9" t="s">
        <v>19</v>
      </c>
      <c r="R32" s="9">
        <v>610</v>
      </c>
      <c r="S32" s="9">
        <v>76.25</v>
      </c>
      <c r="T32" s="9">
        <v>13</v>
      </c>
      <c r="U32" s="9" t="s">
        <v>20</v>
      </c>
      <c r="V32" s="2"/>
      <c r="W32" s="2"/>
    </row>
    <row r="33" spans="1:23" x14ac:dyDescent="0.25">
      <c r="A33" s="1"/>
      <c r="B33" s="2"/>
      <c r="C33" s="2"/>
      <c r="D33" s="2"/>
      <c r="E33" s="2"/>
      <c r="F33" s="2"/>
      <c r="G33" s="9" t="s">
        <v>17</v>
      </c>
      <c r="H33" s="9">
        <v>93</v>
      </c>
      <c r="I33" s="9">
        <v>70</v>
      </c>
      <c r="J33" s="9">
        <v>72</v>
      </c>
      <c r="K33" s="9">
        <v>68</v>
      </c>
      <c r="L33" s="9">
        <v>95</v>
      </c>
      <c r="M33" s="9">
        <v>89</v>
      </c>
      <c r="N33" s="9">
        <v>56</v>
      </c>
      <c r="O33" s="9">
        <v>90</v>
      </c>
      <c r="P33" s="9"/>
      <c r="Q33" s="9" t="s">
        <v>20</v>
      </c>
      <c r="R33" s="9">
        <v>633</v>
      </c>
      <c r="S33" s="9">
        <v>79.12</v>
      </c>
      <c r="T33" s="9">
        <v>9</v>
      </c>
      <c r="U33" s="9" t="s">
        <v>20</v>
      </c>
      <c r="V33" s="2"/>
      <c r="W33" s="2"/>
    </row>
    <row r="34" spans="1:23" x14ac:dyDescent="0.25">
      <c r="A34" s="1">
        <v>17</v>
      </c>
      <c r="B34" s="9" t="s">
        <v>269</v>
      </c>
      <c r="C34" s="9"/>
      <c r="D34" s="2"/>
      <c r="E34" s="2" t="s">
        <v>632</v>
      </c>
      <c r="F34" s="2"/>
      <c r="G34" s="9" t="s">
        <v>16</v>
      </c>
      <c r="H34" s="9">
        <v>94</v>
      </c>
      <c r="I34" s="9">
        <v>74</v>
      </c>
      <c r="J34" s="9">
        <v>82</v>
      </c>
      <c r="K34" s="9">
        <v>74</v>
      </c>
      <c r="L34" s="9">
        <v>87</v>
      </c>
      <c r="M34" s="9">
        <v>91</v>
      </c>
      <c r="N34" s="9">
        <v>91</v>
      </c>
      <c r="O34" s="9">
        <v>71</v>
      </c>
      <c r="P34" s="9" t="s">
        <v>21</v>
      </c>
      <c r="Q34" s="9" t="s">
        <v>20</v>
      </c>
      <c r="R34" s="9">
        <v>664</v>
      </c>
      <c r="S34" s="9">
        <v>83</v>
      </c>
      <c r="T34" s="9">
        <v>8</v>
      </c>
      <c r="U34" s="9" t="s">
        <v>20</v>
      </c>
      <c r="V34" s="2"/>
      <c r="W34" s="2"/>
    </row>
    <row r="35" spans="1:23" x14ac:dyDescent="0.25">
      <c r="A35" s="1"/>
      <c r="B35" s="2"/>
      <c r="C35" s="2"/>
      <c r="D35" s="2"/>
      <c r="E35" s="2"/>
      <c r="F35" s="2"/>
      <c r="G35" s="9" t="s">
        <v>17</v>
      </c>
      <c r="H35" s="9">
        <v>84</v>
      </c>
      <c r="I35" s="9">
        <v>72</v>
      </c>
      <c r="J35" s="9">
        <v>68</v>
      </c>
      <c r="K35" s="9">
        <v>79</v>
      </c>
      <c r="L35" s="9">
        <v>83</v>
      </c>
      <c r="M35" s="9">
        <v>49</v>
      </c>
      <c r="N35" s="9">
        <v>74</v>
      </c>
      <c r="O35" s="9">
        <v>86</v>
      </c>
      <c r="P35" s="9"/>
      <c r="Q35" s="9" t="s">
        <v>20</v>
      </c>
      <c r="R35" s="9">
        <v>595</v>
      </c>
      <c r="S35" s="9">
        <v>74.37</v>
      </c>
      <c r="T35" s="9">
        <v>10</v>
      </c>
      <c r="U35" s="9" t="s">
        <v>20</v>
      </c>
      <c r="V35" s="2"/>
      <c r="W35" s="2"/>
    </row>
    <row r="36" spans="1:23" x14ac:dyDescent="0.25">
      <c r="A36" s="1">
        <v>18</v>
      </c>
      <c r="B36" s="2" t="s">
        <v>270</v>
      </c>
      <c r="C36" s="2"/>
      <c r="D36" s="2"/>
      <c r="E36" s="2" t="s">
        <v>633</v>
      </c>
      <c r="F36" s="2"/>
      <c r="G36" s="9" t="s">
        <v>16</v>
      </c>
      <c r="H36" s="9">
        <v>87</v>
      </c>
      <c r="I36" s="9">
        <v>83</v>
      </c>
      <c r="J36" s="9">
        <v>81</v>
      </c>
      <c r="K36" s="9">
        <v>72</v>
      </c>
      <c r="L36" s="9">
        <v>95</v>
      </c>
      <c r="M36" s="9">
        <v>77</v>
      </c>
      <c r="N36" s="9">
        <v>92</v>
      </c>
      <c r="O36" s="9">
        <v>74</v>
      </c>
      <c r="P36" s="9" t="s">
        <v>21</v>
      </c>
      <c r="Q36" s="9" t="s">
        <v>20</v>
      </c>
      <c r="R36" s="9">
        <v>661</v>
      </c>
      <c r="S36" s="9">
        <v>82.62</v>
      </c>
      <c r="T36" s="9">
        <v>9</v>
      </c>
      <c r="U36" s="9" t="s">
        <v>19</v>
      </c>
      <c r="V36" s="2"/>
      <c r="W36" s="2"/>
    </row>
    <row r="37" spans="1:23" x14ac:dyDescent="0.25">
      <c r="A37" s="1"/>
      <c r="B37" s="2"/>
      <c r="C37" s="2"/>
      <c r="D37" s="2"/>
      <c r="E37" s="2"/>
      <c r="F37" s="2"/>
      <c r="G37" s="9" t="s">
        <v>17</v>
      </c>
      <c r="H37" s="9">
        <v>88</v>
      </c>
      <c r="I37" s="9">
        <v>64</v>
      </c>
      <c r="J37" s="9">
        <v>65</v>
      </c>
      <c r="K37" s="9">
        <v>72</v>
      </c>
      <c r="L37" s="9">
        <v>100</v>
      </c>
      <c r="M37" s="9">
        <v>87</v>
      </c>
      <c r="N37" s="9">
        <v>86</v>
      </c>
      <c r="O37" s="9">
        <v>80</v>
      </c>
      <c r="P37" s="9"/>
      <c r="Q37" s="9" t="s">
        <v>20</v>
      </c>
      <c r="R37" s="9">
        <v>642</v>
      </c>
      <c r="S37" s="9">
        <v>80.25</v>
      </c>
      <c r="T37" s="9">
        <v>7</v>
      </c>
      <c r="U37" s="9" t="s">
        <v>92</v>
      </c>
      <c r="V37" s="2"/>
      <c r="W37" s="2"/>
    </row>
    <row r="38" spans="1:23" x14ac:dyDescent="0.25">
      <c r="A38" s="1">
        <v>19</v>
      </c>
      <c r="B38" s="2" t="s">
        <v>271</v>
      </c>
      <c r="C38" s="2"/>
      <c r="D38" s="2"/>
      <c r="E38" s="2" t="s">
        <v>634</v>
      </c>
      <c r="F38" s="2"/>
      <c r="G38" s="9" t="s">
        <v>16</v>
      </c>
      <c r="H38" s="9">
        <v>70</v>
      </c>
      <c r="I38" s="9">
        <v>30</v>
      </c>
      <c r="J38" s="9">
        <v>80</v>
      </c>
      <c r="K38" s="9">
        <v>49</v>
      </c>
      <c r="L38" s="9">
        <v>60</v>
      </c>
      <c r="M38" s="9">
        <v>68</v>
      </c>
      <c r="N38" s="9">
        <v>65</v>
      </c>
      <c r="O38" s="9">
        <v>50</v>
      </c>
      <c r="P38" s="9" t="s">
        <v>42</v>
      </c>
      <c r="Q38" s="9" t="s">
        <v>20</v>
      </c>
      <c r="R38" s="9">
        <v>472</v>
      </c>
      <c r="S38" s="9">
        <v>59</v>
      </c>
      <c r="T38" s="9">
        <v>17</v>
      </c>
      <c r="U38" s="9" t="s">
        <v>20</v>
      </c>
      <c r="V38" s="2"/>
      <c r="W38" s="2"/>
    </row>
    <row r="39" spans="1:23" x14ac:dyDescent="0.25">
      <c r="A39" s="1"/>
      <c r="B39" s="2"/>
      <c r="C39" s="2"/>
      <c r="D39" s="2"/>
      <c r="E39" s="2"/>
      <c r="F39" s="2"/>
      <c r="G39" s="9" t="s">
        <v>17</v>
      </c>
      <c r="H39" s="9">
        <v>56</v>
      </c>
      <c r="I39" s="9">
        <v>30</v>
      </c>
      <c r="J39" s="9">
        <v>43</v>
      </c>
      <c r="K39" s="9">
        <v>45</v>
      </c>
      <c r="L39" s="9">
        <v>44</v>
      </c>
      <c r="M39" s="9">
        <v>36</v>
      </c>
      <c r="N39" s="9">
        <v>45</v>
      </c>
      <c r="O39" s="9">
        <v>65</v>
      </c>
      <c r="P39" s="9"/>
      <c r="Q39" s="9" t="s">
        <v>20</v>
      </c>
      <c r="R39" s="9">
        <v>364</v>
      </c>
      <c r="S39" s="9">
        <v>45.5</v>
      </c>
      <c r="T39" s="9">
        <v>20</v>
      </c>
      <c r="U39" s="9" t="s">
        <v>20</v>
      </c>
      <c r="V39" s="2"/>
      <c r="W39" s="2"/>
    </row>
    <row r="40" spans="1:23" x14ac:dyDescent="0.25">
      <c r="A40" s="1">
        <v>20</v>
      </c>
      <c r="B40" s="2" t="s">
        <v>272</v>
      </c>
      <c r="C40" s="2"/>
      <c r="D40" s="2"/>
      <c r="E40" s="2" t="s">
        <v>635</v>
      </c>
      <c r="F40" s="2"/>
      <c r="G40" s="9" t="s">
        <v>16</v>
      </c>
      <c r="H40" s="9">
        <v>93</v>
      </c>
      <c r="I40" s="9">
        <v>79</v>
      </c>
      <c r="J40" s="9">
        <v>82</v>
      </c>
      <c r="K40" s="9">
        <v>81</v>
      </c>
      <c r="L40" s="9">
        <v>100</v>
      </c>
      <c r="M40" s="9">
        <v>84</v>
      </c>
      <c r="N40" s="9">
        <v>97</v>
      </c>
      <c r="O40" s="9">
        <v>87</v>
      </c>
      <c r="P40" s="9" t="s">
        <v>19</v>
      </c>
      <c r="Q40" s="9" t="s">
        <v>20</v>
      </c>
      <c r="R40" s="9">
        <v>703</v>
      </c>
      <c r="S40" s="9">
        <v>87.87</v>
      </c>
      <c r="T40" s="9">
        <v>6</v>
      </c>
      <c r="U40" s="9" t="s">
        <v>20</v>
      </c>
      <c r="V40" s="2"/>
      <c r="W40" s="2"/>
    </row>
    <row r="41" spans="1:23" x14ac:dyDescent="0.25">
      <c r="A41" s="1"/>
      <c r="B41" s="2"/>
      <c r="C41" s="2"/>
      <c r="D41" s="2"/>
      <c r="E41" s="2"/>
      <c r="F41" s="2"/>
      <c r="G41" s="9" t="s">
        <v>17</v>
      </c>
      <c r="H41" s="9">
        <v>98</v>
      </c>
      <c r="I41" s="9">
        <v>56</v>
      </c>
      <c r="J41" s="9">
        <v>87</v>
      </c>
      <c r="K41" s="9">
        <v>80</v>
      </c>
      <c r="L41" s="9">
        <v>93</v>
      </c>
      <c r="M41" s="9">
        <v>90</v>
      </c>
      <c r="N41" s="9">
        <v>94</v>
      </c>
      <c r="O41" s="9">
        <v>96</v>
      </c>
      <c r="P41" s="9"/>
      <c r="Q41" s="9" t="s">
        <v>20</v>
      </c>
      <c r="R41" s="9">
        <v>694</v>
      </c>
      <c r="S41" s="9">
        <v>86.75</v>
      </c>
      <c r="T41" s="9">
        <v>4</v>
      </c>
      <c r="U41" s="9" t="s">
        <v>20</v>
      </c>
      <c r="V41" s="2"/>
      <c r="W41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topLeftCell="E15" zoomScale="76" zoomScaleNormal="76" zoomScalePageLayoutView="76" workbookViewId="0">
      <selection activeCell="U37" sqref="U37"/>
    </sheetView>
  </sheetViews>
  <sheetFormatPr defaultColWidth="11.125" defaultRowHeight="15.75" x14ac:dyDescent="0.25"/>
  <cols>
    <col min="1" max="1" width="7.5" customWidth="1"/>
    <col min="2" max="2" width="25.625" customWidth="1"/>
    <col min="3" max="3" width="13.125" bestFit="1" customWidth="1"/>
    <col min="4" max="4" width="8.5" customWidth="1"/>
    <col min="5" max="5" width="19" customWidth="1"/>
    <col min="6" max="6" width="8.5" customWidth="1"/>
  </cols>
  <sheetData>
    <row r="1" spans="1:23" ht="90" x14ac:dyDescent="0.25">
      <c r="A1" s="5" t="s">
        <v>0</v>
      </c>
      <c r="B1" s="6" t="s">
        <v>382</v>
      </c>
      <c r="C1" s="6" t="s">
        <v>3</v>
      </c>
      <c r="D1" s="6" t="s">
        <v>2</v>
      </c>
      <c r="E1" s="6" t="s">
        <v>383</v>
      </c>
      <c r="F1" s="6" t="s">
        <v>390</v>
      </c>
      <c r="G1" s="6" t="s">
        <v>385</v>
      </c>
      <c r="H1" s="35" t="s">
        <v>5</v>
      </c>
      <c r="I1" s="35" t="s">
        <v>6</v>
      </c>
      <c r="J1" s="35" t="s">
        <v>7</v>
      </c>
      <c r="K1" s="35" t="s">
        <v>228</v>
      </c>
      <c r="L1" s="35" t="s">
        <v>229</v>
      </c>
      <c r="M1" s="35" t="s">
        <v>230</v>
      </c>
      <c r="N1" s="35" t="s">
        <v>8</v>
      </c>
      <c r="O1" s="35" t="s">
        <v>167</v>
      </c>
      <c r="P1" s="35" t="s">
        <v>9</v>
      </c>
      <c r="Q1" s="35" t="s">
        <v>737</v>
      </c>
      <c r="R1" s="35" t="s">
        <v>10</v>
      </c>
      <c r="S1" s="35" t="s">
        <v>11</v>
      </c>
      <c r="T1" s="35" t="s">
        <v>12</v>
      </c>
      <c r="U1" s="35" t="s">
        <v>13</v>
      </c>
      <c r="V1" s="35" t="s">
        <v>14</v>
      </c>
      <c r="W1" s="7"/>
    </row>
    <row r="2" spans="1:23" ht="21" x14ac:dyDescent="0.35">
      <c r="A2" s="1">
        <v>1</v>
      </c>
      <c r="B2" s="2" t="s">
        <v>273</v>
      </c>
      <c r="C2" s="2"/>
      <c r="D2" s="2" t="s">
        <v>42</v>
      </c>
      <c r="E2" s="2" t="s">
        <v>636</v>
      </c>
      <c r="F2" s="2"/>
      <c r="G2" s="2" t="s">
        <v>16</v>
      </c>
      <c r="H2" s="25">
        <f>[1]Amharic!AB$12</f>
        <v>81</v>
      </c>
      <c r="I2" s="25">
        <f>[1]English!AB$12</f>
        <v>59</v>
      </c>
      <c r="J2" s="25">
        <f>[1]Mathematics!AB$12</f>
        <v>63</v>
      </c>
      <c r="K2" s="25">
        <f>[1]Physics!AB$12</f>
        <v>50</v>
      </c>
      <c r="L2" s="25">
        <f>[1]Chemistry!AB$12</f>
        <v>56</v>
      </c>
      <c r="M2" s="25">
        <f>[1]Biology!AB$12</f>
        <v>77</v>
      </c>
      <c r="N2" s="25">
        <f>[1]SocialStudies!AB$12</f>
        <v>79</v>
      </c>
      <c r="O2" s="25">
        <f>[1]Civ!AB$12</f>
        <v>68</v>
      </c>
      <c r="P2" s="25" t="str">
        <f>[1]Comp!AB$12</f>
        <v>C</v>
      </c>
      <c r="Q2" s="25" t="str">
        <f>[1]PE!AB$12</f>
        <v>A</v>
      </c>
      <c r="R2" s="34">
        <f t="shared" ref="R2:R37" si="0">SUM(H2:O2)</f>
        <v>533</v>
      </c>
      <c r="S2" s="32">
        <f t="shared" ref="S2:S37" si="1">AVERAGE(H2:O2)</f>
        <v>66.625</v>
      </c>
      <c r="T2" s="23">
        <f>'[1]4th Quarter Roster'!K1169</f>
        <v>16</v>
      </c>
      <c r="U2" s="23" t="s">
        <v>20</v>
      </c>
      <c r="V2" s="30"/>
    </row>
    <row r="3" spans="1:23" ht="21" x14ac:dyDescent="0.35">
      <c r="A3" s="1"/>
      <c r="B3" s="2"/>
      <c r="C3" s="2"/>
      <c r="D3" s="2"/>
      <c r="E3" s="2"/>
      <c r="F3" s="2"/>
      <c r="G3" s="2" t="s">
        <v>17</v>
      </c>
      <c r="H3" s="25">
        <f>[1]Amharic!AC$12</f>
        <v>69</v>
      </c>
      <c r="I3" s="25">
        <f>[1]English!AC$12</f>
        <v>40</v>
      </c>
      <c r="J3" s="25">
        <f>[1]Mathematics!AC$12</f>
        <v>51</v>
      </c>
      <c r="K3" s="25">
        <f>[1]Physics!AC$12</f>
        <v>51</v>
      </c>
      <c r="L3" s="25">
        <f>[1]Chemistry!AC$12</f>
        <v>58</v>
      </c>
      <c r="M3" s="25">
        <f>[1]Biology!AC$12</f>
        <v>88</v>
      </c>
      <c r="N3" s="25">
        <f>[1]SocialStudies!AC$12</f>
        <v>65</v>
      </c>
      <c r="O3" s="25">
        <f>[1]Civ!AC$12</f>
        <v>76</v>
      </c>
      <c r="P3" s="25" t="str">
        <f>[1]Comp!AC$12</f>
        <v>C</v>
      </c>
      <c r="Q3" s="25" t="str">
        <f>[1]PE!AC$12</f>
        <v>A</v>
      </c>
      <c r="R3" s="34">
        <f t="shared" si="0"/>
        <v>498</v>
      </c>
      <c r="S3" s="32">
        <f t="shared" si="1"/>
        <v>62.25</v>
      </c>
      <c r="T3" s="23">
        <f>'[1]4th Quarter Roster'!L1169</f>
        <v>16</v>
      </c>
      <c r="U3" s="23" t="s">
        <v>20</v>
      </c>
      <c r="V3" s="30"/>
    </row>
    <row r="4" spans="1:23" ht="21" x14ac:dyDescent="0.35">
      <c r="A4" s="1">
        <v>2</v>
      </c>
      <c r="B4" s="9" t="s">
        <v>274</v>
      </c>
      <c r="C4" s="9"/>
      <c r="D4" s="2" t="s">
        <v>43</v>
      </c>
      <c r="E4" s="12" t="s">
        <v>730</v>
      </c>
      <c r="F4" s="2"/>
      <c r="G4" s="2" t="s">
        <v>16</v>
      </c>
      <c r="H4" s="33">
        <f>[1]Amharic!AB$13</f>
        <v>100</v>
      </c>
      <c r="I4" s="33">
        <f>[1]English!AB$13</f>
        <v>73</v>
      </c>
      <c r="J4" s="33">
        <f>[1]Mathematics!AB$13</f>
        <v>87</v>
      </c>
      <c r="K4" s="33">
        <f>[1]Physics!AB$13</f>
        <v>83</v>
      </c>
      <c r="L4" s="33">
        <f>[1]Chemistry!AB$13</f>
        <v>78</v>
      </c>
      <c r="M4" s="33">
        <f>[1]Biology!AB$13</f>
        <v>86</v>
      </c>
      <c r="N4" s="33">
        <f>[1]SocialStudies!AB$13</f>
        <v>95</v>
      </c>
      <c r="O4" s="33">
        <f>[1]Civ!AB$13</f>
        <v>78</v>
      </c>
      <c r="P4" s="33" t="str">
        <f>[1]Comp!AB$13</f>
        <v>B</v>
      </c>
      <c r="Q4" s="33" t="str">
        <f>[1]PE!AB$13</f>
        <v>A</v>
      </c>
      <c r="R4" s="32">
        <f t="shared" si="0"/>
        <v>680</v>
      </c>
      <c r="S4" s="32">
        <f t="shared" si="1"/>
        <v>85</v>
      </c>
      <c r="T4" s="23">
        <v>12</v>
      </c>
      <c r="U4" s="23" t="s">
        <v>19</v>
      </c>
      <c r="V4" s="30"/>
    </row>
    <row r="5" spans="1:23" ht="21" x14ac:dyDescent="0.35">
      <c r="A5" s="1"/>
      <c r="B5" s="2"/>
      <c r="C5" s="2"/>
      <c r="D5" s="2"/>
      <c r="E5" s="2"/>
      <c r="F5" s="2"/>
      <c r="G5" s="2" t="s">
        <v>17</v>
      </c>
      <c r="H5" s="33">
        <f>[1]Amharic!AC$13</f>
        <v>94</v>
      </c>
      <c r="I5" s="33">
        <f>[1]English!AC$13</f>
        <v>63</v>
      </c>
      <c r="J5" s="33">
        <f>[1]Mathematics!AC$13</f>
        <v>68</v>
      </c>
      <c r="K5" s="33">
        <f>[1]Physics!AC$13</f>
        <v>71</v>
      </c>
      <c r="L5" s="33">
        <f>[1]Chemistry!AC$13</f>
        <v>88</v>
      </c>
      <c r="M5" s="33">
        <f>[1]Biology!AC$13</f>
        <v>90</v>
      </c>
      <c r="N5" s="33">
        <f>[1]SocialStudies!AC$13</f>
        <v>88</v>
      </c>
      <c r="O5" s="33">
        <f>[1]Civ!AC$13</f>
        <v>90</v>
      </c>
      <c r="P5" s="33" t="str">
        <f>[1]Comp!AC$13</f>
        <v>C</v>
      </c>
      <c r="Q5" s="33" t="str">
        <f>[1]PE!AC$13</f>
        <v>A</v>
      </c>
      <c r="R5" s="32">
        <f t="shared" si="0"/>
        <v>652</v>
      </c>
      <c r="S5" s="32">
        <f t="shared" si="1"/>
        <v>81.5</v>
      </c>
      <c r="T5" s="23">
        <v>9</v>
      </c>
      <c r="U5" s="23" t="s">
        <v>19</v>
      </c>
      <c r="V5" s="30"/>
    </row>
    <row r="6" spans="1:23" ht="21" x14ac:dyDescent="0.35">
      <c r="A6" s="1">
        <v>3</v>
      </c>
      <c r="B6" s="2" t="s">
        <v>275</v>
      </c>
      <c r="C6" s="2"/>
      <c r="D6" s="2" t="s">
        <v>42</v>
      </c>
      <c r="E6" s="2" t="s">
        <v>637</v>
      </c>
      <c r="F6" s="2"/>
      <c r="G6" s="2" t="s">
        <v>16</v>
      </c>
      <c r="H6" s="33">
        <f>[1]Amharic!AB$14</f>
        <v>78</v>
      </c>
      <c r="I6" s="33">
        <f>[1]English!AB$14</f>
        <v>60</v>
      </c>
      <c r="J6" s="33">
        <f>[1]Mathematics!AB$14</f>
        <v>66</v>
      </c>
      <c r="K6" s="33">
        <f>[1]Physics!AB$14</f>
        <v>53</v>
      </c>
      <c r="L6" s="33">
        <f>[1]Chemistry!AB$14</f>
        <v>70</v>
      </c>
      <c r="M6" s="33">
        <f>[1]Biology!AB$14</f>
        <v>87</v>
      </c>
      <c r="N6" s="33">
        <f>[1]SocialStudies!AB$14</f>
        <v>73</v>
      </c>
      <c r="O6" s="33">
        <f>[1]Civ!AB$14</f>
        <v>75</v>
      </c>
      <c r="P6" s="33" t="str">
        <f>[1]Comp!AB$14</f>
        <v>C</v>
      </c>
      <c r="Q6" s="33" t="str">
        <f>[1]PE!AB$14</f>
        <v>A</v>
      </c>
      <c r="R6" s="34">
        <f t="shared" si="0"/>
        <v>562</v>
      </c>
      <c r="S6" s="32">
        <f t="shared" si="1"/>
        <v>70.25</v>
      </c>
      <c r="T6" s="23">
        <v>15</v>
      </c>
      <c r="U6" s="23" t="s">
        <v>20</v>
      </c>
      <c r="V6" s="30"/>
    </row>
    <row r="7" spans="1:23" ht="21" x14ac:dyDescent="0.35">
      <c r="A7" s="1"/>
      <c r="B7" s="2"/>
      <c r="C7" s="2"/>
      <c r="D7" s="2"/>
      <c r="E7" s="2"/>
      <c r="F7" s="2"/>
      <c r="G7" s="2" t="s">
        <v>17</v>
      </c>
      <c r="H7" s="33">
        <f>[1]Amharic!AC$14</f>
        <v>54</v>
      </c>
      <c r="I7" s="33">
        <f>[1]English!AC$14</f>
        <v>62</v>
      </c>
      <c r="J7" s="33">
        <f>[1]Mathematics!AC$14</f>
        <v>67</v>
      </c>
      <c r="K7" s="33">
        <f>[1]Physics!AC$14</f>
        <v>57</v>
      </c>
      <c r="L7" s="33">
        <f>[1]Chemistry!AC$14</f>
        <v>74</v>
      </c>
      <c r="M7" s="33">
        <f>[1]Biology!AC$14</f>
        <v>72</v>
      </c>
      <c r="N7" s="33">
        <f>[1]SocialStudies!AC$14</f>
        <v>85</v>
      </c>
      <c r="O7" s="33">
        <f>[1]Civ!AC$14</f>
        <v>72</v>
      </c>
      <c r="P7" s="33" t="str">
        <f>[1]Comp!AC$14</f>
        <v>D</v>
      </c>
      <c r="Q7" s="33" t="str">
        <f>[1]PE!AC$14</f>
        <v>A</v>
      </c>
      <c r="R7" s="34">
        <f t="shared" si="0"/>
        <v>543</v>
      </c>
      <c r="S7" s="32">
        <f t="shared" si="1"/>
        <v>67.875</v>
      </c>
      <c r="T7" s="23">
        <v>15</v>
      </c>
      <c r="U7" s="23" t="s">
        <v>20</v>
      </c>
      <c r="V7" s="30"/>
    </row>
    <row r="8" spans="1:23" ht="21" x14ac:dyDescent="0.35">
      <c r="A8" s="1">
        <v>4</v>
      </c>
      <c r="B8" s="2" t="s">
        <v>276</v>
      </c>
      <c r="C8" s="2"/>
      <c r="D8" s="2" t="s">
        <v>43</v>
      </c>
      <c r="E8" s="2" t="s">
        <v>638</v>
      </c>
      <c r="F8" s="2"/>
      <c r="G8" s="2" t="s">
        <v>16</v>
      </c>
      <c r="H8" s="33">
        <f>[1]Amharic!AB$15</f>
        <v>88</v>
      </c>
      <c r="I8" s="33">
        <f>[1]English!AB$15</f>
        <v>93</v>
      </c>
      <c r="J8" s="33">
        <f>[1]Mathematics!AB$15</f>
        <v>82</v>
      </c>
      <c r="K8" s="33">
        <f>[1]Physics!AB$15</f>
        <v>77</v>
      </c>
      <c r="L8" s="33">
        <f>[1]Chemistry!AB$15</f>
        <v>94</v>
      </c>
      <c r="M8" s="33">
        <f>[1]Biology!AB$15</f>
        <v>91</v>
      </c>
      <c r="N8" s="33">
        <f>[1]SocialStudies!AB$15</f>
        <v>98</v>
      </c>
      <c r="O8" s="33">
        <f>[1]Civ!AB$15</f>
        <v>87</v>
      </c>
      <c r="P8" s="33" t="str">
        <f>[1]Comp!AB$12</f>
        <v>C</v>
      </c>
      <c r="Q8" s="33" t="str">
        <f>[1]PE!AB$12</f>
        <v>A</v>
      </c>
      <c r="R8" s="32">
        <f t="shared" si="0"/>
        <v>710</v>
      </c>
      <c r="S8" s="32">
        <f t="shared" si="1"/>
        <v>88.75</v>
      </c>
      <c r="T8" s="31">
        <v>6</v>
      </c>
      <c r="U8" s="23" t="s">
        <v>19</v>
      </c>
      <c r="V8" s="30"/>
    </row>
    <row r="9" spans="1:23" ht="21" x14ac:dyDescent="0.35">
      <c r="A9" s="1"/>
      <c r="B9" s="2"/>
      <c r="C9" s="2"/>
      <c r="D9" s="2"/>
      <c r="E9" s="2"/>
      <c r="F9" s="2"/>
      <c r="G9" s="2" t="s">
        <v>17</v>
      </c>
      <c r="H9" s="33">
        <f>[1]Amharic!AC$15</f>
        <v>84</v>
      </c>
      <c r="I9" s="33">
        <f>[1]English!AC$15</f>
        <v>69</v>
      </c>
      <c r="J9" s="33">
        <f>[1]Mathematics!AC$15</f>
        <v>65</v>
      </c>
      <c r="K9" s="33">
        <f>[1]Physics!AC$15</f>
        <v>73</v>
      </c>
      <c r="L9" s="33">
        <f>[1]Chemistry!AC$15</f>
        <v>97</v>
      </c>
      <c r="M9" s="33">
        <f>[1]Biology!AC$15</f>
        <v>95</v>
      </c>
      <c r="N9" s="33">
        <f>[1]SocialStudies!AC$15</f>
        <v>95</v>
      </c>
      <c r="O9" s="33">
        <f>[1]Civ!AC$15</f>
        <v>87</v>
      </c>
      <c r="P9" s="33" t="str">
        <f>[1]Comp!AC$12</f>
        <v>C</v>
      </c>
      <c r="Q9" s="33" t="str">
        <f>[1]PE!AC$12</f>
        <v>A</v>
      </c>
      <c r="R9" s="32">
        <f t="shared" si="0"/>
        <v>665</v>
      </c>
      <c r="S9" s="32">
        <f t="shared" si="1"/>
        <v>83.125</v>
      </c>
      <c r="T9" s="31">
        <v>13</v>
      </c>
      <c r="U9" s="23" t="s">
        <v>20</v>
      </c>
      <c r="V9" s="30"/>
    </row>
    <row r="10" spans="1:23" ht="21" x14ac:dyDescent="0.35">
      <c r="A10" s="1">
        <v>5</v>
      </c>
      <c r="B10" s="2" t="s">
        <v>277</v>
      </c>
      <c r="C10" s="2"/>
      <c r="D10" s="2" t="s">
        <v>42</v>
      </c>
      <c r="E10" s="2" t="s">
        <v>639</v>
      </c>
      <c r="F10" s="2"/>
      <c r="G10" s="2" t="s">
        <v>16</v>
      </c>
      <c r="H10" s="25">
        <f>[1]Amharic!AB$16</f>
        <v>88</v>
      </c>
      <c r="I10" s="25">
        <f>[1]English!AB$16</f>
        <v>40</v>
      </c>
      <c r="J10" s="25">
        <f>[1]Mathematics!AB$16</f>
        <v>66</v>
      </c>
      <c r="K10" s="25">
        <f>[1]Physics!AB$16</f>
        <v>25</v>
      </c>
      <c r="L10" s="25">
        <f>[1]Chemistry!AB$16</f>
        <v>50</v>
      </c>
      <c r="M10" s="25">
        <f>[1]Biology!AB$16</f>
        <v>60</v>
      </c>
      <c r="N10" s="25">
        <f>[1]SocialStudies!AB$16</f>
        <v>52</v>
      </c>
      <c r="O10" s="25">
        <f>[1]Civ!AB$16</f>
        <v>57</v>
      </c>
      <c r="P10" s="25" t="str">
        <f>[1]Comp!AB$16</f>
        <v>C</v>
      </c>
      <c r="Q10" s="25" t="str">
        <f>[1]PE!AB$16</f>
        <v>A</v>
      </c>
      <c r="R10" s="24">
        <f t="shared" si="0"/>
        <v>438</v>
      </c>
      <c r="S10" s="32">
        <f t="shared" si="1"/>
        <v>54.75</v>
      </c>
      <c r="T10" s="23">
        <v>17</v>
      </c>
      <c r="U10" s="23" t="s">
        <v>20</v>
      </c>
      <c r="V10" s="30"/>
    </row>
    <row r="11" spans="1:23" ht="21" x14ac:dyDescent="0.35">
      <c r="A11" s="1"/>
      <c r="B11" s="2"/>
      <c r="C11" s="2"/>
      <c r="D11" s="2"/>
      <c r="E11" s="2"/>
      <c r="F11" s="2"/>
      <c r="G11" s="2" t="s">
        <v>17</v>
      </c>
      <c r="H11" s="25">
        <f>[1]Amharic!AC$16</f>
        <v>78</v>
      </c>
      <c r="I11" s="25">
        <f>[1]English!AC$16</f>
        <v>32</v>
      </c>
      <c r="J11" s="25">
        <f>[1]Mathematics!AC$16</f>
        <v>47</v>
      </c>
      <c r="K11" s="25">
        <f>[1]Physics!AC$16</f>
        <v>32</v>
      </c>
      <c r="L11" s="25">
        <f>[1]Chemistry!AC$16</f>
        <v>49</v>
      </c>
      <c r="M11" s="25">
        <f>[1]Biology!AC$16</f>
        <v>51</v>
      </c>
      <c r="N11" s="25">
        <f>[1]SocialStudies!AC$16</f>
        <v>49</v>
      </c>
      <c r="O11" s="25">
        <f>[1]Civ!AC$16</f>
        <v>85</v>
      </c>
      <c r="P11" s="25" t="str">
        <f>[1]Comp!AC$16</f>
        <v>D</v>
      </c>
      <c r="Q11" s="25" t="str">
        <f>[1]PE!AC$16</f>
        <v>A</v>
      </c>
      <c r="R11" s="24">
        <f t="shared" si="0"/>
        <v>423</v>
      </c>
      <c r="S11" s="32">
        <f t="shared" si="1"/>
        <v>52.875</v>
      </c>
      <c r="T11" s="23">
        <v>18</v>
      </c>
      <c r="U11" s="23" t="s">
        <v>20</v>
      </c>
      <c r="V11" s="30"/>
    </row>
    <row r="12" spans="1:23" ht="21" x14ac:dyDescent="0.35">
      <c r="A12" s="1">
        <v>6</v>
      </c>
      <c r="B12" s="9" t="s">
        <v>278</v>
      </c>
      <c r="C12" s="9"/>
      <c r="D12" s="2" t="s">
        <v>42</v>
      </c>
      <c r="E12" s="2" t="s">
        <v>640</v>
      </c>
      <c r="F12" s="2"/>
      <c r="G12" s="2" t="s">
        <v>16</v>
      </c>
      <c r="H12" s="25">
        <f>[1]Amharic!AB$17</f>
        <v>98</v>
      </c>
      <c r="I12" s="25">
        <f>[1]English!AB$17</f>
        <v>76</v>
      </c>
      <c r="J12" s="25">
        <f>[1]Mathematics!AB$17</f>
        <v>93</v>
      </c>
      <c r="K12" s="25">
        <f>[1]Physics!AB$17</f>
        <v>85</v>
      </c>
      <c r="L12" s="25">
        <f>[1]Chemistry!AB$17</f>
        <v>91</v>
      </c>
      <c r="M12" s="25">
        <f>[1]Biology!AB$17</f>
        <v>86</v>
      </c>
      <c r="N12" s="25">
        <f>[1]SocialStudies!AB$17</f>
        <v>88</v>
      </c>
      <c r="O12" s="25">
        <f>[1]Civ!AB$17</f>
        <v>81</v>
      </c>
      <c r="P12" s="25" t="str">
        <f>[1]Comp!AB$17</f>
        <v>C</v>
      </c>
      <c r="Q12" s="25" t="str">
        <f>[1]PE!AB$17</f>
        <v>A</v>
      </c>
      <c r="R12" s="24">
        <f t="shared" si="0"/>
        <v>698</v>
      </c>
      <c r="S12" s="32">
        <f t="shared" si="1"/>
        <v>87.25</v>
      </c>
      <c r="T12" s="23">
        <v>10</v>
      </c>
      <c r="U12" s="23" t="s">
        <v>20</v>
      </c>
      <c r="V12" s="30"/>
    </row>
    <row r="13" spans="1:23" ht="21" x14ac:dyDescent="0.35">
      <c r="A13" s="1"/>
      <c r="B13" s="2"/>
      <c r="C13" s="2"/>
      <c r="D13" s="2"/>
      <c r="E13" s="2"/>
      <c r="F13" s="2"/>
      <c r="G13" s="2" t="s">
        <v>17</v>
      </c>
      <c r="H13" s="25">
        <f>[1]Amharic!AC$17</f>
        <v>87</v>
      </c>
      <c r="I13" s="25">
        <f>[1]English!AC$17</f>
        <v>65</v>
      </c>
      <c r="J13" s="25">
        <f>[1]Mathematics!AC$17</f>
        <v>90</v>
      </c>
      <c r="K13" s="25">
        <f>[1]Physics!AC$17</f>
        <v>81</v>
      </c>
      <c r="L13" s="25">
        <f>[1]Chemistry!AC$17</f>
        <v>94</v>
      </c>
      <c r="M13" s="25">
        <f>[1]Biology!AC$17</f>
        <v>86</v>
      </c>
      <c r="N13" s="25">
        <f>[1]SocialStudies!AC$17</f>
        <v>86</v>
      </c>
      <c r="O13" s="25">
        <f>[1]Civ!AC$17</f>
        <v>95</v>
      </c>
      <c r="P13" s="25" t="str">
        <f>[1]Comp!AC$17</f>
        <v>A</v>
      </c>
      <c r="Q13" s="25" t="str">
        <f>[1]PE!AC$17</f>
        <v>A</v>
      </c>
      <c r="R13" s="24">
        <f t="shared" si="0"/>
        <v>684</v>
      </c>
      <c r="S13" s="32">
        <f t="shared" si="1"/>
        <v>85.5</v>
      </c>
      <c r="T13" s="23">
        <v>6</v>
      </c>
      <c r="U13" s="23" t="s">
        <v>20</v>
      </c>
      <c r="V13" s="30"/>
    </row>
    <row r="14" spans="1:23" ht="21" x14ac:dyDescent="0.35">
      <c r="A14" s="1">
        <v>7</v>
      </c>
      <c r="B14" s="2" t="s">
        <v>279</v>
      </c>
      <c r="C14" s="2"/>
      <c r="D14" s="2" t="s">
        <v>43</v>
      </c>
      <c r="E14" s="2" t="s">
        <v>641</v>
      </c>
      <c r="F14" s="2"/>
      <c r="G14" s="2" t="s">
        <v>16</v>
      </c>
      <c r="H14" s="25">
        <f>[1]Amharic!AB$18</f>
        <v>92</v>
      </c>
      <c r="I14" s="25">
        <f>[1]English!AB$18</f>
        <v>97</v>
      </c>
      <c r="J14" s="25">
        <f>[1]Mathematics!AB$18</f>
        <v>86</v>
      </c>
      <c r="K14" s="25">
        <f>[1]Physics!AB$18</f>
        <v>83</v>
      </c>
      <c r="L14" s="25">
        <f>[1]Chemistry!AB$18</f>
        <v>83</v>
      </c>
      <c r="M14" s="25">
        <f>[1]Biology!AB$18</f>
        <v>89</v>
      </c>
      <c r="N14" s="25">
        <f>[1]SocialStudies!AB$18</f>
        <v>98</v>
      </c>
      <c r="O14" s="25">
        <f>[1]Civ!AB$18</f>
        <v>86</v>
      </c>
      <c r="P14" s="25" t="str">
        <f>[1]Comp!AB$18</f>
        <v>B</v>
      </c>
      <c r="Q14" s="25" t="str">
        <f>[1]PE!AB$18</f>
        <v>A</v>
      </c>
      <c r="R14" s="24">
        <f t="shared" si="0"/>
        <v>714</v>
      </c>
      <c r="S14" s="32">
        <f t="shared" si="1"/>
        <v>89.25</v>
      </c>
      <c r="T14" s="23">
        <v>5</v>
      </c>
      <c r="U14" s="23" t="s">
        <v>20</v>
      </c>
      <c r="V14" s="30"/>
    </row>
    <row r="15" spans="1:23" ht="21" x14ac:dyDescent="0.35">
      <c r="A15" s="1"/>
      <c r="B15" s="2"/>
      <c r="C15" s="2"/>
      <c r="D15" s="2"/>
      <c r="E15" s="2"/>
      <c r="F15" s="2"/>
      <c r="G15" s="2" t="s">
        <v>17</v>
      </c>
      <c r="H15" s="25">
        <f>[1]Amharic!AC$18</f>
        <v>71</v>
      </c>
      <c r="I15" s="25">
        <f>[1]English!AC$18</f>
        <v>78</v>
      </c>
      <c r="J15" s="25">
        <f>[1]Mathematics!AC$18</f>
        <v>80</v>
      </c>
      <c r="K15" s="25">
        <f>[1]Physics!AC$18</f>
        <v>77</v>
      </c>
      <c r="L15" s="25">
        <f>[1]Chemistry!AC$18</f>
        <v>99</v>
      </c>
      <c r="M15" s="25">
        <f>[1]Biology!AC$18</f>
        <v>96</v>
      </c>
      <c r="N15" s="25">
        <f>[1]SocialStudies!AC$18</f>
        <v>92</v>
      </c>
      <c r="O15" s="25">
        <f>[1]Civ!AC$18</f>
        <v>83</v>
      </c>
      <c r="P15" s="25" t="str">
        <f>[1]Comp!AC$18</f>
        <v>A</v>
      </c>
      <c r="Q15" s="25" t="str">
        <f>[1]PE!AC$18</f>
        <v>A</v>
      </c>
      <c r="R15" s="24">
        <f t="shared" si="0"/>
        <v>676</v>
      </c>
      <c r="S15" s="32">
        <f t="shared" si="1"/>
        <v>84.5</v>
      </c>
      <c r="T15" s="23">
        <v>7</v>
      </c>
      <c r="U15" s="23" t="s">
        <v>20</v>
      </c>
      <c r="V15" s="30"/>
    </row>
    <row r="16" spans="1:23" ht="21" x14ac:dyDescent="0.35">
      <c r="A16" s="1">
        <v>8</v>
      </c>
      <c r="B16" s="9" t="s">
        <v>280</v>
      </c>
      <c r="C16" s="9"/>
      <c r="D16" s="2" t="s">
        <v>42</v>
      </c>
      <c r="E16" s="2" t="s">
        <v>642</v>
      </c>
      <c r="F16" s="2"/>
      <c r="G16" s="2" t="s">
        <v>16</v>
      </c>
      <c r="H16" s="25">
        <f>[1]Amharic!AB$19</f>
        <v>90</v>
      </c>
      <c r="I16" s="25">
        <f>[1]English!AB$19</f>
        <v>85</v>
      </c>
      <c r="J16" s="25">
        <f>[1]Mathematics!AB$19</f>
        <v>100</v>
      </c>
      <c r="K16" s="25">
        <f>[1]Physics!AB$19</f>
        <v>92</v>
      </c>
      <c r="L16" s="25">
        <f>[1]Chemistry!AB$19</f>
        <v>100</v>
      </c>
      <c r="M16" s="25">
        <f>[1]Biology!AB$19</f>
        <v>93</v>
      </c>
      <c r="N16" s="25">
        <f>[1]SocialStudies!AB$19</f>
        <v>100</v>
      </c>
      <c r="O16" s="25">
        <f>[1]Civ!AB$19</f>
        <v>87</v>
      </c>
      <c r="P16" s="25" t="str">
        <f>[1]Comp!AB$19</f>
        <v>B</v>
      </c>
      <c r="Q16" s="25" t="str">
        <f>[1]PE!AB$19</f>
        <v>A</v>
      </c>
      <c r="R16" s="24">
        <f t="shared" si="0"/>
        <v>747</v>
      </c>
      <c r="S16" s="32">
        <f t="shared" si="1"/>
        <v>93.375</v>
      </c>
      <c r="T16" s="23">
        <v>3</v>
      </c>
      <c r="U16" s="23" t="s">
        <v>20</v>
      </c>
      <c r="V16" s="30"/>
    </row>
    <row r="17" spans="1:22" ht="21" x14ac:dyDescent="0.35">
      <c r="A17" s="1"/>
      <c r="B17" s="2"/>
      <c r="C17" s="2"/>
      <c r="D17" s="2"/>
      <c r="E17" s="2"/>
      <c r="F17" s="2"/>
      <c r="G17" s="2" t="s">
        <v>17</v>
      </c>
      <c r="H17" s="25">
        <f>[1]Amharic!AC$19</f>
        <v>94</v>
      </c>
      <c r="I17" s="25">
        <f>[1]English!AC$19</f>
        <v>72</v>
      </c>
      <c r="J17" s="25">
        <f>[1]Mathematics!AC$19</f>
        <v>100</v>
      </c>
      <c r="K17" s="25">
        <f>[1]Physics!AC$19</f>
        <v>90</v>
      </c>
      <c r="L17" s="25">
        <f>[1]Chemistry!AC$19</f>
        <v>97</v>
      </c>
      <c r="M17" s="25">
        <f>[1]Biology!AC$19</f>
        <v>90</v>
      </c>
      <c r="N17" s="25">
        <f>[1]SocialStudies!AC$19</f>
        <v>99</v>
      </c>
      <c r="O17" s="25">
        <f>[1]Civ!AC$19</f>
        <v>98</v>
      </c>
      <c r="P17" s="25" t="str">
        <f>[1]Comp!AC$19</f>
        <v>C</v>
      </c>
      <c r="Q17" s="25" t="str">
        <f>[1]PE!AC$19</f>
        <v>A</v>
      </c>
      <c r="R17" s="24">
        <f t="shared" si="0"/>
        <v>740</v>
      </c>
      <c r="S17" s="32">
        <f t="shared" si="1"/>
        <v>92.5</v>
      </c>
      <c r="T17" s="23">
        <v>3</v>
      </c>
      <c r="U17" s="23" t="s">
        <v>20</v>
      </c>
      <c r="V17" s="30"/>
    </row>
    <row r="18" spans="1:22" ht="21" x14ac:dyDescent="0.35">
      <c r="A18" s="1">
        <v>9</v>
      </c>
      <c r="B18" s="2" t="s">
        <v>281</v>
      </c>
      <c r="C18" s="2"/>
      <c r="D18" s="2" t="s">
        <v>42</v>
      </c>
      <c r="E18" s="2" t="s">
        <v>643</v>
      </c>
      <c r="F18" s="2"/>
      <c r="G18" s="2" t="s">
        <v>16</v>
      </c>
      <c r="H18" s="25">
        <f>[1]Amharic!AB$20</f>
        <v>100</v>
      </c>
      <c r="I18" s="25">
        <f>[1]English!AB$20</f>
        <v>79</v>
      </c>
      <c r="J18" s="25">
        <f>[1]Mathematics!AB$20</f>
        <v>96</v>
      </c>
      <c r="K18" s="25">
        <f>[1]Physics!AB$20</f>
        <v>82</v>
      </c>
      <c r="L18" s="25">
        <f>[1]Chemistry!AB$20</f>
        <v>94</v>
      </c>
      <c r="M18" s="25">
        <f>[1]Biology!AB$20</f>
        <v>85</v>
      </c>
      <c r="N18" s="25">
        <f>[1]SocialStudies!AB$20</f>
        <v>91</v>
      </c>
      <c r="O18" s="25">
        <f>[1]Civ!AB$20</f>
        <v>83</v>
      </c>
      <c r="P18" s="25" t="str">
        <f>[1]Comp!AB$20</f>
        <v>B</v>
      </c>
      <c r="Q18" s="25" t="str">
        <f>[1]PE!AB$20</f>
        <v>A</v>
      </c>
      <c r="R18" s="24">
        <f t="shared" si="0"/>
        <v>710</v>
      </c>
      <c r="S18" s="32">
        <f t="shared" si="1"/>
        <v>88.75</v>
      </c>
      <c r="T18" s="23">
        <v>6</v>
      </c>
      <c r="U18" s="23" t="s">
        <v>20</v>
      </c>
      <c r="V18" s="30"/>
    </row>
    <row r="19" spans="1:22" ht="21" x14ac:dyDescent="0.35">
      <c r="A19" s="1"/>
      <c r="B19" s="2"/>
      <c r="C19" s="2"/>
      <c r="D19" s="2"/>
      <c r="E19" s="2"/>
      <c r="F19" s="2"/>
      <c r="G19" s="2" t="s">
        <v>17</v>
      </c>
      <c r="H19" s="25">
        <f>[1]Amharic!AC$20</f>
        <v>93</v>
      </c>
      <c r="I19" s="25">
        <f>[1]English!AC$20</f>
        <v>66</v>
      </c>
      <c r="J19" s="25">
        <f>[1]Mathematics!AC$20</f>
        <v>76</v>
      </c>
      <c r="K19" s="25">
        <f>[1]Physics!AC$20</f>
        <v>72</v>
      </c>
      <c r="L19" s="25">
        <f>[1]Chemistry!AC$20</f>
        <v>69</v>
      </c>
      <c r="M19" s="25">
        <f>[1]Biology!AC$20</f>
        <v>83</v>
      </c>
      <c r="N19" s="25">
        <f>[1]SocialStudies!AC$20</f>
        <v>79</v>
      </c>
      <c r="O19" s="25">
        <f>[1]Civ!AC$20</f>
        <v>99</v>
      </c>
      <c r="P19" s="25" t="str">
        <f>[1]Comp!AC$20</f>
        <v>C</v>
      </c>
      <c r="Q19" s="25" t="str">
        <f>[1]PE!AC$20</f>
        <v>A</v>
      </c>
      <c r="R19" s="24">
        <f t="shared" si="0"/>
        <v>637</v>
      </c>
      <c r="S19" s="32">
        <f t="shared" si="1"/>
        <v>79.625</v>
      </c>
      <c r="T19" s="23">
        <v>11</v>
      </c>
      <c r="U19" s="23" t="s">
        <v>20</v>
      </c>
      <c r="V19" s="30"/>
    </row>
    <row r="20" spans="1:22" ht="21" x14ac:dyDescent="0.35">
      <c r="A20" s="1">
        <v>10</v>
      </c>
      <c r="B20" s="2" t="s">
        <v>282</v>
      </c>
      <c r="C20" s="2"/>
      <c r="D20" s="2" t="s">
        <v>42</v>
      </c>
      <c r="E20" s="2" t="s">
        <v>644</v>
      </c>
      <c r="F20" s="2"/>
      <c r="G20" s="2" t="s">
        <v>16</v>
      </c>
      <c r="H20" s="25">
        <f>[1]Amharic!AB$21</f>
        <v>100</v>
      </c>
      <c r="I20" s="25">
        <f>[1]English!AB$21</f>
        <v>83</v>
      </c>
      <c r="J20" s="25">
        <f>[1]Mathematics!AB$21</f>
        <v>98</v>
      </c>
      <c r="K20" s="25">
        <f>[1]Physics!AB$21</f>
        <v>75</v>
      </c>
      <c r="L20" s="25">
        <f>[1]Chemistry!AB$21</f>
        <v>84</v>
      </c>
      <c r="M20" s="25">
        <f>[1]Biology!AB$21</f>
        <v>80</v>
      </c>
      <c r="N20" s="25">
        <f>[1]SocialStudies!AB$21</f>
        <v>84</v>
      </c>
      <c r="O20" s="25">
        <f>[1]Civ!AB$21</f>
        <v>90</v>
      </c>
      <c r="P20" s="25" t="str">
        <f>[1]Comp!AB$21</f>
        <v>B</v>
      </c>
      <c r="Q20" s="25" t="str">
        <f>[1]PE!AB$21</f>
        <v>A</v>
      </c>
      <c r="R20" s="24">
        <f t="shared" si="0"/>
        <v>694</v>
      </c>
      <c r="S20" s="32">
        <f t="shared" si="1"/>
        <v>86.75</v>
      </c>
      <c r="T20" s="23">
        <v>11</v>
      </c>
      <c r="U20" s="23" t="s">
        <v>20</v>
      </c>
      <c r="V20" s="30"/>
    </row>
    <row r="21" spans="1:22" ht="21" x14ac:dyDescent="0.35">
      <c r="A21" s="1"/>
      <c r="B21" s="2"/>
      <c r="C21" s="2"/>
      <c r="D21" s="2"/>
      <c r="E21" s="2"/>
      <c r="F21" s="2"/>
      <c r="G21" s="2" t="s">
        <v>17</v>
      </c>
      <c r="H21" s="25">
        <f>[1]Amharic!AC$21</f>
        <v>95</v>
      </c>
      <c r="I21" s="25">
        <f>[1]English!AC$21</f>
        <v>65</v>
      </c>
      <c r="J21" s="25">
        <f>[1]Mathematics!AC$21</f>
        <v>79</v>
      </c>
      <c r="K21" s="25">
        <f>[1]Physics!AC$21</f>
        <v>71</v>
      </c>
      <c r="L21" s="25">
        <f>[1]Chemistry!AC$21</f>
        <v>78</v>
      </c>
      <c r="M21" s="25">
        <f>[1]Biology!AC$21</f>
        <v>96</v>
      </c>
      <c r="N21" s="25">
        <f>[1]SocialStudies!AC$21</f>
        <v>78</v>
      </c>
      <c r="O21" s="25">
        <f>[1]Civ!AC$21</f>
        <v>97</v>
      </c>
      <c r="P21" s="25">
        <f>[1]Comp!AC$21</f>
        <v>0</v>
      </c>
      <c r="Q21" s="25" t="str">
        <f>[1]PE!AC$21</f>
        <v>A</v>
      </c>
      <c r="R21" s="24">
        <f t="shared" si="0"/>
        <v>659</v>
      </c>
      <c r="S21" s="32">
        <f t="shared" si="1"/>
        <v>82.375</v>
      </c>
      <c r="T21" s="23">
        <v>14</v>
      </c>
      <c r="U21" s="23" t="s">
        <v>20</v>
      </c>
      <c r="V21" s="30"/>
    </row>
    <row r="22" spans="1:22" ht="21" x14ac:dyDescent="0.35">
      <c r="A22" s="1">
        <v>11</v>
      </c>
      <c r="B22" s="2" t="s">
        <v>283</v>
      </c>
      <c r="C22" s="2"/>
      <c r="D22" s="2" t="s">
        <v>43</v>
      </c>
      <c r="E22" s="2" t="s">
        <v>645</v>
      </c>
      <c r="F22" s="2"/>
      <c r="G22" s="2" t="s">
        <v>16</v>
      </c>
      <c r="H22" s="25">
        <f>[1]Amharic!AB$22</f>
        <v>75</v>
      </c>
      <c r="I22" s="25">
        <f>[1]English!AB$22</f>
        <v>44</v>
      </c>
      <c r="J22" s="25">
        <f>[1]Mathematics!AB$22</f>
        <v>51</v>
      </c>
      <c r="K22" s="25">
        <f>[1]Physics!AB$22</f>
        <v>19</v>
      </c>
      <c r="L22" s="25">
        <f>[1]Chemistry!AB$22</f>
        <v>70</v>
      </c>
      <c r="M22" s="25">
        <f>[1]Biology!AB$22</f>
        <v>70</v>
      </c>
      <c r="N22" s="25">
        <f>[1]SocialStudies!AB$22</f>
        <v>52</v>
      </c>
      <c r="O22" s="25">
        <f>[1]Civ!AB$22</f>
        <v>41</v>
      </c>
      <c r="P22" s="25" t="str">
        <f>[1]Comp!AB$22</f>
        <v>C</v>
      </c>
      <c r="Q22" s="25" t="str">
        <f>[1]PE!AB$22</f>
        <v>A</v>
      </c>
      <c r="R22" s="24">
        <f t="shared" si="0"/>
        <v>422</v>
      </c>
      <c r="S22" s="32">
        <f t="shared" si="1"/>
        <v>52.75</v>
      </c>
      <c r="T22" s="23">
        <v>18</v>
      </c>
      <c r="U22" s="23" t="s">
        <v>19</v>
      </c>
      <c r="V22" s="30"/>
    </row>
    <row r="23" spans="1:22" ht="21" x14ac:dyDescent="0.35">
      <c r="A23" s="1"/>
      <c r="B23" s="2"/>
      <c r="C23" s="2"/>
      <c r="D23" s="2"/>
      <c r="E23" s="2"/>
      <c r="F23" s="2"/>
      <c r="G23" s="2" t="s">
        <v>17</v>
      </c>
      <c r="H23" s="25">
        <f>[1]Amharic!AC$22</f>
        <v>60</v>
      </c>
      <c r="I23" s="25">
        <f>[1]English!AC$22</f>
        <v>44</v>
      </c>
      <c r="J23" s="25">
        <f>[1]Mathematics!AC$22</f>
        <v>58</v>
      </c>
      <c r="K23" s="25">
        <f>[1]Physics!AC$22</f>
        <v>37</v>
      </c>
      <c r="L23" s="25">
        <f>[1]Chemistry!AC$22</f>
        <v>60</v>
      </c>
      <c r="M23" s="25">
        <f>[1]Biology!AC$22</f>
        <v>53</v>
      </c>
      <c r="N23" s="25">
        <f>[1]SocialStudies!AC$22</f>
        <v>61</v>
      </c>
      <c r="O23" s="25">
        <f>[1]Civ!AC$22</f>
        <v>73</v>
      </c>
      <c r="P23" s="25" t="str">
        <f>[1]Comp!AC$22</f>
        <v>D</v>
      </c>
      <c r="Q23" s="25" t="str">
        <f>[1]PE!AC$22</f>
        <v>A</v>
      </c>
      <c r="R23" s="24">
        <f t="shared" si="0"/>
        <v>446</v>
      </c>
      <c r="S23" s="32">
        <f t="shared" si="1"/>
        <v>55.75</v>
      </c>
      <c r="T23" s="23">
        <v>17</v>
      </c>
      <c r="U23" s="23" t="s">
        <v>20</v>
      </c>
      <c r="V23" s="30"/>
    </row>
    <row r="24" spans="1:22" ht="21" x14ac:dyDescent="0.35">
      <c r="A24" s="1">
        <v>12</v>
      </c>
      <c r="B24" s="2" t="s">
        <v>284</v>
      </c>
      <c r="C24" s="2"/>
      <c r="D24" s="2" t="s">
        <v>42</v>
      </c>
      <c r="E24" s="2" t="s">
        <v>646</v>
      </c>
      <c r="F24" s="2"/>
      <c r="G24" s="2" t="s">
        <v>16</v>
      </c>
      <c r="H24" s="25">
        <f>[1]Amharic!AB$23</f>
        <v>99</v>
      </c>
      <c r="I24" s="25">
        <f>[1]English!AB$23</f>
        <v>51</v>
      </c>
      <c r="J24" s="25">
        <f>[1]Mathematics!AB$23</f>
        <v>70</v>
      </c>
      <c r="K24" s="25">
        <f>[1]Physics!AB$23</f>
        <v>67</v>
      </c>
      <c r="L24" s="25">
        <f>[1]Chemistry!AB$23</f>
        <v>81</v>
      </c>
      <c r="M24" s="25">
        <f>[1]Biology!AB$23</f>
        <v>85</v>
      </c>
      <c r="N24" s="25">
        <f>[1]SocialStudies!AB$23</f>
        <v>78</v>
      </c>
      <c r="O24" s="25">
        <f>[1]Civ!AB$23</f>
        <v>87</v>
      </c>
      <c r="P24" s="25" t="str">
        <f>[1]Comp!AB$23</f>
        <v>C</v>
      </c>
      <c r="Q24" s="25" t="str">
        <f>[1]PE!AB$23</f>
        <v>A</v>
      </c>
      <c r="R24" s="24">
        <f t="shared" si="0"/>
        <v>618</v>
      </c>
      <c r="S24" s="24">
        <f t="shared" si="1"/>
        <v>77.25</v>
      </c>
      <c r="T24" s="23">
        <v>14</v>
      </c>
      <c r="U24" s="23" t="s">
        <v>20</v>
      </c>
      <c r="V24" s="30"/>
    </row>
    <row r="25" spans="1:22" ht="21" x14ac:dyDescent="0.35">
      <c r="A25" s="1"/>
      <c r="B25" s="2"/>
      <c r="C25" s="2"/>
      <c r="D25" s="2"/>
      <c r="E25" s="2"/>
      <c r="F25" s="2"/>
      <c r="G25" s="2" t="s">
        <v>17</v>
      </c>
      <c r="H25" s="25">
        <f>[1]Amharic!AC$23</f>
        <v>91</v>
      </c>
      <c r="I25" s="25">
        <f>[1]English!AC$23</f>
        <v>49</v>
      </c>
      <c r="J25" s="25">
        <f>[1]Mathematics!AC$23</f>
        <v>64</v>
      </c>
      <c r="K25" s="25">
        <f>[1]Physics!AC$23</f>
        <v>72</v>
      </c>
      <c r="L25" s="25">
        <f>[1]Chemistry!AC$23</f>
        <v>90</v>
      </c>
      <c r="M25" s="25">
        <f>[1]Biology!AC$23</f>
        <v>89</v>
      </c>
      <c r="N25" s="25">
        <f>[1]SocialStudies!AC$23</f>
        <v>86</v>
      </c>
      <c r="O25" s="25">
        <f>[1]Civ!AC$23</f>
        <v>87</v>
      </c>
      <c r="P25" s="25" t="str">
        <f>[1]Comp!AC$23</f>
        <v>D</v>
      </c>
      <c r="Q25" s="25" t="str">
        <f>[1]PE!AC$23</f>
        <v>A</v>
      </c>
      <c r="R25" s="24">
        <f t="shared" si="0"/>
        <v>628</v>
      </c>
      <c r="S25" s="24">
        <f t="shared" si="1"/>
        <v>78.5</v>
      </c>
      <c r="T25" s="23">
        <v>12</v>
      </c>
      <c r="U25" s="23" t="s">
        <v>20</v>
      </c>
      <c r="V25" s="30"/>
    </row>
    <row r="26" spans="1:22" ht="21" x14ac:dyDescent="0.35">
      <c r="A26" s="1">
        <v>13</v>
      </c>
      <c r="B26" s="2" t="s">
        <v>285</v>
      </c>
      <c r="C26" s="2"/>
      <c r="D26" s="2" t="s">
        <v>42</v>
      </c>
      <c r="E26" s="2" t="s">
        <v>647</v>
      </c>
      <c r="F26" s="2"/>
      <c r="G26" s="2" t="s">
        <v>16</v>
      </c>
      <c r="H26" s="25">
        <f>[1]Amharic!AB$24</f>
        <v>94</v>
      </c>
      <c r="I26" s="25">
        <f>[1]English!AB$24</f>
        <v>100</v>
      </c>
      <c r="J26" s="25">
        <f>[1]Mathematics!AB$24</f>
        <v>93</v>
      </c>
      <c r="K26" s="25">
        <f>[1]Physics!AB$24</f>
        <v>70</v>
      </c>
      <c r="L26" s="25">
        <f>[1]Chemistry!AB$24</f>
        <v>81</v>
      </c>
      <c r="M26" s="25">
        <f>[1]Biology!AB$24</f>
        <v>90</v>
      </c>
      <c r="N26" s="25">
        <f>[1]SocialStudies!AB$24</f>
        <v>90</v>
      </c>
      <c r="O26" s="25">
        <f>[1]Civ!AB$24</f>
        <v>88</v>
      </c>
      <c r="P26" s="25" t="str">
        <f>[1]Comp!AB$24</f>
        <v>C</v>
      </c>
      <c r="Q26" s="25" t="str">
        <f>[1]PE!AB$24</f>
        <v>A</v>
      </c>
      <c r="R26" s="24">
        <f t="shared" si="0"/>
        <v>706</v>
      </c>
      <c r="S26" s="24">
        <f t="shared" si="1"/>
        <v>88.25</v>
      </c>
      <c r="T26" s="23">
        <v>8</v>
      </c>
      <c r="U26" s="31" t="s">
        <v>20</v>
      </c>
      <c r="V26" s="30"/>
    </row>
    <row r="27" spans="1:22" ht="21" x14ac:dyDescent="0.35">
      <c r="A27" s="1"/>
      <c r="B27" s="2"/>
      <c r="C27" s="2"/>
      <c r="D27" s="2"/>
      <c r="E27" s="2"/>
      <c r="F27" s="2"/>
      <c r="G27" s="2" t="s">
        <v>17</v>
      </c>
      <c r="H27" s="25">
        <f>[1]Amharic!AC$24</f>
        <v>89</v>
      </c>
      <c r="I27" s="25">
        <f>[1]English!AC$24</f>
        <v>82</v>
      </c>
      <c r="J27" s="25">
        <f>[1]Mathematics!AC$24</f>
        <v>83</v>
      </c>
      <c r="K27" s="25">
        <f>[1]Physics!AC$24</f>
        <v>73</v>
      </c>
      <c r="L27" s="25">
        <f>[1]Chemistry!AC$24</f>
        <v>95</v>
      </c>
      <c r="M27" s="25">
        <f>[1]Biology!AC$24</f>
        <v>99</v>
      </c>
      <c r="N27" s="25">
        <f>[1]SocialStudies!AC$24</f>
        <v>92</v>
      </c>
      <c r="O27" s="25">
        <f>[1]Civ!AC$24</f>
        <v>89</v>
      </c>
      <c r="P27" s="25" t="str">
        <f>[1]Comp!AC$24</f>
        <v>B</v>
      </c>
      <c r="Q27" s="25" t="str">
        <f>[1]PE!AC$24</f>
        <v>A</v>
      </c>
      <c r="R27" s="24">
        <f t="shared" si="0"/>
        <v>702</v>
      </c>
      <c r="S27" s="24">
        <f t="shared" si="1"/>
        <v>87.75</v>
      </c>
      <c r="T27" s="23">
        <v>5</v>
      </c>
      <c r="U27" s="31" t="s">
        <v>20</v>
      </c>
      <c r="V27" s="30"/>
    </row>
    <row r="28" spans="1:22" ht="21" x14ac:dyDescent="0.35">
      <c r="A28" s="3">
        <v>14</v>
      </c>
      <c r="B28" s="4" t="s">
        <v>286</v>
      </c>
      <c r="C28" s="4"/>
      <c r="D28" s="4" t="s">
        <v>42</v>
      </c>
      <c r="E28" s="4" t="s">
        <v>648</v>
      </c>
      <c r="F28" s="4"/>
      <c r="G28" s="2" t="s">
        <v>16</v>
      </c>
      <c r="H28" s="25">
        <f>[1]Amharic!AB$25</f>
        <v>100</v>
      </c>
      <c r="I28" s="25">
        <f>[1]English!AB$25</f>
        <v>83</v>
      </c>
      <c r="J28" s="25">
        <f>[1]Mathematics!AB$25</f>
        <v>100</v>
      </c>
      <c r="K28" s="25">
        <f>[1]Physics!AB$25</f>
        <v>96</v>
      </c>
      <c r="L28" s="25">
        <f>[1]Chemistry!AB$25</f>
        <v>100</v>
      </c>
      <c r="M28" s="25">
        <f>[1]Biology!AB$25</f>
        <v>91</v>
      </c>
      <c r="N28" s="25">
        <f>[1]SocialStudies!AB$25</f>
        <v>100</v>
      </c>
      <c r="O28" s="25">
        <f>[1]Civ!AB$25</f>
        <v>98</v>
      </c>
      <c r="P28" s="25" t="str">
        <f>[1]Comp!AB$25</f>
        <v>A</v>
      </c>
      <c r="Q28" s="25" t="str">
        <f>[1]PE!AB$25</f>
        <v>A</v>
      </c>
      <c r="R28" s="24">
        <f t="shared" si="0"/>
        <v>768</v>
      </c>
      <c r="S28" s="24">
        <f t="shared" si="1"/>
        <v>96</v>
      </c>
      <c r="T28" s="23">
        <v>2</v>
      </c>
      <c r="U28" s="23" t="s">
        <v>20</v>
      </c>
      <c r="V28" s="30"/>
    </row>
    <row r="29" spans="1:22" ht="21" x14ac:dyDescent="0.35">
      <c r="A29" s="1"/>
      <c r="B29" s="2"/>
      <c r="C29" s="2"/>
      <c r="D29" s="2"/>
      <c r="E29" s="2"/>
      <c r="F29" s="2"/>
      <c r="G29" s="2" t="s">
        <v>17</v>
      </c>
      <c r="H29" s="25">
        <f>[1]Amharic!AC$25</f>
        <v>98</v>
      </c>
      <c r="I29" s="25">
        <f>[1]English!AC$25</f>
        <v>84</v>
      </c>
      <c r="J29" s="25">
        <f>[1]Mathematics!AC$25</f>
        <v>100</v>
      </c>
      <c r="K29" s="25">
        <f>[1]Physics!AC$25</f>
        <v>91</v>
      </c>
      <c r="L29" s="25">
        <f>[1]Chemistry!AC$25</f>
        <v>100</v>
      </c>
      <c r="M29" s="25">
        <f>[1]Biology!AC$25</f>
        <v>100</v>
      </c>
      <c r="N29" s="25">
        <f>[1]SocialStudies!AC$25</f>
        <v>100</v>
      </c>
      <c r="O29" s="25">
        <f>[1]Civ!AC$25</f>
        <v>99</v>
      </c>
      <c r="P29" s="25" t="str">
        <f>[1]Comp!AC$25</f>
        <v>A</v>
      </c>
      <c r="Q29" s="25" t="str">
        <f>[1]PE!AC$25</f>
        <v>A</v>
      </c>
      <c r="R29" s="24">
        <f t="shared" si="0"/>
        <v>772</v>
      </c>
      <c r="S29" s="24">
        <f t="shared" si="1"/>
        <v>96.5</v>
      </c>
      <c r="T29" s="23">
        <v>1</v>
      </c>
      <c r="U29" s="23" t="s">
        <v>20</v>
      </c>
      <c r="V29" s="30"/>
    </row>
    <row r="30" spans="1:22" ht="21" x14ac:dyDescent="0.35">
      <c r="A30" s="1">
        <v>15</v>
      </c>
      <c r="B30" s="2" t="s">
        <v>287</v>
      </c>
      <c r="C30" s="2"/>
      <c r="D30" s="2" t="s">
        <v>42</v>
      </c>
      <c r="E30" s="2" t="s">
        <v>649</v>
      </c>
      <c r="F30" s="2"/>
      <c r="G30" s="2" t="s">
        <v>16</v>
      </c>
      <c r="H30" s="25">
        <f>[1]Amharic!AB$26</f>
        <v>100</v>
      </c>
      <c r="I30" s="25">
        <f>[1]English!AB$26</f>
        <v>96</v>
      </c>
      <c r="J30" s="25">
        <f>[1]Mathematics!AB$26</f>
        <v>97</v>
      </c>
      <c r="K30" s="25">
        <f>[1]Physics!AB$26</f>
        <v>86</v>
      </c>
      <c r="L30" s="25">
        <f>[1]Chemistry!AB$26</f>
        <v>97</v>
      </c>
      <c r="M30" s="25">
        <f>[1]Biology!AB$26</f>
        <v>93</v>
      </c>
      <c r="N30" s="25">
        <f>[1]SocialStudies!AB$26</f>
        <v>92</v>
      </c>
      <c r="O30" s="25">
        <f>[1]Civ!AB$26</f>
        <v>85</v>
      </c>
      <c r="P30" s="25" t="str">
        <f>[1]Comp!AB$26</f>
        <v>C</v>
      </c>
      <c r="Q30" s="25" t="str">
        <f>[1]PE!AB$26</f>
        <v>A</v>
      </c>
      <c r="R30" s="24">
        <f t="shared" si="0"/>
        <v>746</v>
      </c>
      <c r="S30" s="24">
        <f t="shared" si="1"/>
        <v>93.25</v>
      </c>
      <c r="T30" s="23">
        <v>4</v>
      </c>
      <c r="U30" s="23" t="s">
        <v>20</v>
      </c>
      <c r="V30" s="30"/>
    </row>
    <row r="31" spans="1:22" ht="21" x14ac:dyDescent="0.35">
      <c r="A31" s="1"/>
      <c r="B31" s="2"/>
      <c r="C31" s="2"/>
      <c r="D31" s="2"/>
      <c r="E31" s="2"/>
      <c r="F31" s="2"/>
      <c r="G31" s="2" t="s">
        <v>17</v>
      </c>
      <c r="H31" s="25">
        <f>[1]Amharic!AC$26</f>
        <v>98</v>
      </c>
      <c r="I31" s="25">
        <f>[1]English!AC$26</f>
        <v>89</v>
      </c>
      <c r="J31" s="25">
        <f>[1]Mathematics!AC$26</f>
        <v>78</v>
      </c>
      <c r="K31" s="25">
        <f>[1]Physics!AC$26</f>
        <v>73</v>
      </c>
      <c r="L31" s="25">
        <f>[1]Chemistry!AC$26</f>
        <v>89</v>
      </c>
      <c r="M31" s="25">
        <f>[1]Biology!AC$26</f>
        <v>92</v>
      </c>
      <c r="N31" s="25">
        <f>[1]SocialStudies!AC$26</f>
        <v>92</v>
      </c>
      <c r="O31" s="25">
        <f>[1]Civ!AC$26</f>
        <v>98</v>
      </c>
      <c r="P31" s="25" t="str">
        <f>[1]Comp!AC$26</f>
        <v>A</v>
      </c>
      <c r="Q31" s="25" t="str">
        <f>[1]PE!AC$26</f>
        <v>A</v>
      </c>
      <c r="R31" s="24">
        <f t="shared" si="0"/>
        <v>709</v>
      </c>
      <c r="S31" s="24">
        <f t="shared" si="1"/>
        <v>88.625</v>
      </c>
      <c r="T31" s="23">
        <v>4</v>
      </c>
      <c r="U31" s="23" t="s">
        <v>20</v>
      </c>
      <c r="V31" s="30"/>
    </row>
    <row r="32" spans="1:22" ht="21" x14ac:dyDescent="0.35">
      <c r="A32" s="3">
        <v>16</v>
      </c>
      <c r="B32" s="4" t="s">
        <v>381</v>
      </c>
      <c r="C32" s="4"/>
      <c r="D32" s="4" t="s">
        <v>42</v>
      </c>
      <c r="E32" s="4" t="s">
        <v>650</v>
      </c>
      <c r="F32" s="4"/>
      <c r="G32" s="2" t="s">
        <v>16</v>
      </c>
      <c r="H32" s="29">
        <f>[1]Amharic!AB$27</f>
        <v>97</v>
      </c>
      <c r="I32" s="29">
        <f>[1]English!AB$27</f>
        <v>73</v>
      </c>
      <c r="J32" s="29">
        <f>[1]Mathematics!AB$27</f>
        <v>83</v>
      </c>
      <c r="K32" s="29">
        <f>[1]Physics!AB$27</f>
        <v>74</v>
      </c>
      <c r="L32" s="29">
        <f>[1]Chemistry!AB$27</f>
        <v>83</v>
      </c>
      <c r="M32" s="29">
        <f>[1]Biology!AB$27</f>
        <v>85</v>
      </c>
      <c r="N32" s="29">
        <f>[1]SocialStudies!AB$27</f>
        <v>85</v>
      </c>
      <c r="O32" s="29">
        <f>[1]Civ!AB$27</f>
        <v>84</v>
      </c>
      <c r="P32" s="29" t="str">
        <f>[1]Comp!AB$27</f>
        <v>B</v>
      </c>
      <c r="Q32" s="29" t="str">
        <f>[1]PE!AB$27</f>
        <v>A</v>
      </c>
      <c r="R32" s="28">
        <f t="shared" si="0"/>
        <v>664</v>
      </c>
      <c r="S32" s="28">
        <f t="shared" si="1"/>
        <v>83</v>
      </c>
      <c r="T32" s="27">
        <v>13</v>
      </c>
      <c r="U32" s="27" t="s">
        <v>20</v>
      </c>
      <c r="V32" s="22"/>
    </row>
    <row r="33" spans="1:22" ht="21" x14ac:dyDescent="0.35">
      <c r="A33" s="1"/>
      <c r="B33" s="2"/>
      <c r="C33" s="2"/>
      <c r="D33" s="2"/>
      <c r="E33" s="2"/>
      <c r="F33" s="2"/>
      <c r="G33" s="2" t="s">
        <v>17</v>
      </c>
      <c r="H33" s="29">
        <f>[1]Amharic!AC$27</f>
        <v>78</v>
      </c>
      <c r="I33" s="29">
        <f>[1]English!AC$27</f>
        <v>55</v>
      </c>
      <c r="J33" s="29">
        <f>[1]Mathematics!AC$27</f>
        <v>82</v>
      </c>
      <c r="K33" s="29">
        <f>[1]Physics!AC$27</f>
        <v>76</v>
      </c>
      <c r="L33" s="29">
        <f>[1]Chemistry!AC$27</f>
        <v>84</v>
      </c>
      <c r="M33" s="29">
        <f>[1]Biology!AC$27</f>
        <v>85</v>
      </c>
      <c r="N33" s="29">
        <f>[1]SocialStudies!AC$27</f>
        <v>90</v>
      </c>
      <c r="O33" s="29">
        <f>[1]Civ!AC$27</f>
        <v>90</v>
      </c>
      <c r="P33" s="29" t="str">
        <f>[1]Comp!AC$27</f>
        <v>A</v>
      </c>
      <c r="Q33" s="29" t="str">
        <f>[1]PE!AC$27</f>
        <v>A</v>
      </c>
      <c r="R33" s="28">
        <f t="shared" si="0"/>
        <v>640</v>
      </c>
      <c r="S33" s="28">
        <f t="shared" si="1"/>
        <v>80</v>
      </c>
      <c r="T33" s="27">
        <v>10</v>
      </c>
      <c r="U33" s="27" t="s">
        <v>20</v>
      </c>
      <c r="V33" s="22"/>
    </row>
    <row r="34" spans="1:22" ht="21" x14ac:dyDescent="0.35">
      <c r="A34" s="1">
        <v>17</v>
      </c>
      <c r="B34" s="2" t="s">
        <v>380</v>
      </c>
      <c r="C34" s="2"/>
      <c r="D34" s="2" t="s">
        <v>42</v>
      </c>
      <c r="E34" s="2" t="s">
        <v>651</v>
      </c>
      <c r="F34" s="26"/>
      <c r="G34" s="26" t="s">
        <v>16</v>
      </c>
      <c r="H34" s="25">
        <f>[1]Amharic!AB$28</f>
        <v>100</v>
      </c>
      <c r="I34" s="25">
        <f>[1]English!AB$28</f>
        <v>89</v>
      </c>
      <c r="J34" s="25">
        <f>[1]Mathematics!AB$28</f>
        <v>100</v>
      </c>
      <c r="K34" s="25">
        <f>[1]Physics!AB$28</f>
        <v>92</v>
      </c>
      <c r="L34" s="25">
        <f>[1]Chemistry!AB$28</f>
        <v>100</v>
      </c>
      <c r="M34" s="25">
        <f>[1]Biology!AB$28</f>
        <v>100</v>
      </c>
      <c r="N34" s="25">
        <f>[1]SocialStudies!AB$28</f>
        <v>98</v>
      </c>
      <c r="O34" s="25">
        <f>[1]Civ!AB$28</f>
        <v>91</v>
      </c>
      <c r="P34" s="25" t="str">
        <f>[1]Comp!AB$28</f>
        <v>B</v>
      </c>
      <c r="Q34" s="25" t="str">
        <f>[1]PE!AB$28</f>
        <v>A</v>
      </c>
      <c r="R34" s="24">
        <f t="shared" si="0"/>
        <v>770</v>
      </c>
      <c r="S34" s="24">
        <f t="shared" si="1"/>
        <v>96.25</v>
      </c>
      <c r="T34" s="23">
        <v>1</v>
      </c>
      <c r="U34" s="23" t="s">
        <v>20</v>
      </c>
      <c r="V34" s="22"/>
    </row>
    <row r="35" spans="1:22" ht="21" x14ac:dyDescent="0.35">
      <c r="A35" s="1"/>
      <c r="B35" s="2"/>
      <c r="C35" s="2"/>
      <c r="D35" s="2"/>
      <c r="E35" s="2"/>
      <c r="F35" s="26"/>
      <c r="G35" s="26" t="s">
        <v>17</v>
      </c>
      <c r="H35" s="25">
        <f>[1]Amharic!AC$28</f>
        <v>90</v>
      </c>
      <c r="I35" s="25">
        <f>[1]English!AC$28</f>
        <v>74</v>
      </c>
      <c r="J35" s="25">
        <f>[1]Mathematics!AC$28</f>
        <v>97</v>
      </c>
      <c r="K35" s="25">
        <f>[1]Physics!AC$28</f>
        <v>91</v>
      </c>
      <c r="L35" s="25">
        <f>[1]Chemistry!AC$28</f>
        <v>98</v>
      </c>
      <c r="M35" s="25">
        <f>[1]Biology!AC$28</f>
        <v>100</v>
      </c>
      <c r="N35" s="25">
        <f>[1]SocialStudies!AC$28</f>
        <v>97</v>
      </c>
      <c r="O35" s="25">
        <f>[1]Civ!AC$28</f>
        <v>98</v>
      </c>
      <c r="P35" s="25" t="str">
        <f>[1]Comp!AC$28</f>
        <v>A</v>
      </c>
      <c r="Q35" s="25" t="str">
        <f>[1]PE!AC$28</f>
        <v>A</v>
      </c>
      <c r="R35" s="24">
        <f t="shared" si="0"/>
        <v>745</v>
      </c>
      <c r="S35" s="24">
        <f t="shared" si="1"/>
        <v>93.125</v>
      </c>
      <c r="T35" s="23">
        <v>2</v>
      </c>
      <c r="U35" s="23" t="s">
        <v>20</v>
      </c>
      <c r="V35" s="22"/>
    </row>
    <row r="36" spans="1:22" ht="21" x14ac:dyDescent="0.35">
      <c r="A36" s="1">
        <v>18</v>
      </c>
      <c r="B36" s="2" t="s">
        <v>379</v>
      </c>
      <c r="C36" s="2"/>
      <c r="D36" s="2" t="s">
        <v>42</v>
      </c>
      <c r="E36" s="2" t="s">
        <v>652</v>
      </c>
      <c r="F36" s="26"/>
      <c r="G36" s="26" t="s">
        <v>16</v>
      </c>
      <c r="H36" s="25">
        <f>[1]Amharic!AB$29</f>
        <v>100</v>
      </c>
      <c r="I36" s="25">
        <f>[1]English!AB$29</f>
        <v>70</v>
      </c>
      <c r="J36" s="25">
        <f>[1]Mathematics!AB$29</f>
        <v>84</v>
      </c>
      <c r="K36" s="25">
        <f>[1]Physics!AB$29</f>
        <v>82</v>
      </c>
      <c r="L36" s="25">
        <f>[1]Chemistry!AB$29</f>
        <v>88</v>
      </c>
      <c r="M36" s="25">
        <f>[1]Biology!AB$29</f>
        <v>88</v>
      </c>
      <c r="N36" s="25">
        <f>[1]SocialStudies!AB$29</f>
        <v>98</v>
      </c>
      <c r="O36" s="25">
        <f>[1]Civ!AB$29</f>
        <v>89</v>
      </c>
      <c r="P36" s="25" t="str">
        <f>[1]Comp!AB$29</f>
        <v>B</v>
      </c>
      <c r="Q36" s="25" t="str">
        <f>[1]PE!AB$29</f>
        <v>A</v>
      </c>
      <c r="R36" s="24">
        <f t="shared" si="0"/>
        <v>699</v>
      </c>
      <c r="S36" s="24">
        <f t="shared" si="1"/>
        <v>87.375</v>
      </c>
      <c r="T36" s="23">
        <v>9</v>
      </c>
      <c r="U36" s="23" t="s">
        <v>20</v>
      </c>
      <c r="V36" s="22"/>
    </row>
    <row r="37" spans="1:22" ht="21" x14ac:dyDescent="0.35">
      <c r="A37" s="1"/>
      <c r="B37" s="2"/>
      <c r="C37" s="2"/>
      <c r="D37" s="2"/>
      <c r="E37" s="2"/>
      <c r="F37" s="26"/>
      <c r="G37" s="26" t="s">
        <v>17</v>
      </c>
      <c r="H37" s="25">
        <f>[1]Amharic!AC$29</f>
        <v>85</v>
      </c>
      <c r="I37" s="25">
        <f>[1]English!AC$29</f>
        <v>61</v>
      </c>
      <c r="J37" s="25">
        <f>[1]Mathematics!AC$29</f>
        <v>77</v>
      </c>
      <c r="K37" s="25">
        <f>[1]Physics!AC$29</f>
        <v>84</v>
      </c>
      <c r="L37" s="25">
        <f>[1]Chemistry!AC$29</f>
        <v>88</v>
      </c>
      <c r="M37" s="25">
        <f>[1]Biology!AC$29</f>
        <v>95</v>
      </c>
      <c r="N37" s="25">
        <f>[1]SocialStudies!AC$29</f>
        <v>86</v>
      </c>
      <c r="O37" s="25">
        <f>[1]Civ!AC$29</f>
        <v>95</v>
      </c>
      <c r="P37" s="25" t="str">
        <f>[1]Comp!AC$29</f>
        <v>C</v>
      </c>
      <c r="Q37" s="25" t="str">
        <f>[1]PE!AC$29</f>
        <v>A</v>
      </c>
      <c r="R37" s="24">
        <f t="shared" si="0"/>
        <v>671</v>
      </c>
      <c r="S37" s="24">
        <f t="shared" si="1"/>
        <v>83.875</v>
      </c>
      <c r="T37" s="23">
        <v>8</v>
      </c>
      <c r="U37" s="23" t="s">
        <v>20</v>
      </c>
      <c r="V37" s="2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X37"/>
  <sheetViews>
    <sheetView topLeftCell="E1" zoomScale="75" zoomScaleNormal="75" zoomScalePageLayoutView="75" workbookViewId="0">
      <selection activeCell="V2" sqref="V2"/>
    </sheetView>
  </sheetViews>
  <sheetFormatPr defaultColWidth="11.125" defaultRowHeight="15.75" x14ac:dyDescent="0.25"/>
  <cols>
    <col min="1" max="1" width="7.5" customWidth="1"/>
    <col min="2" max="2" width="25.625" customWidth="1"/>
    <col min="3" max="3" width="9.625" bestFit="1" customWidth="1"/>
    <col min="4" max="4" width="8.5" customWidth="1"/>
    <col min="5" max="5" width="14.375" customWidth="1"/>
    <col min="6" max="6" width="8.5" customWidth="1"/>
  </cols>
  <sheetData>
    <row r="1" spans="1:24" ht="91.5" x14ac:dyDescent="0.25">
      <c r="A1" s="5" t="s">
        <v>0</v>
      </c>
      <c r="B1" s="6" t="s">
        <v>382</v>
      </c>
      <c r="C1" s="6" t="s">
        <v>3</v>
      </c>
      <c r="D1" s="6" t="s">
        <v>2</v>
      </c>
      <c r="E1" s="6" t="s">
        <v>383</v>
      </c>
      <c r="F1" s="6" t="s">
        <v>384</v>
      </c>
      <c r="G1" s="6" t="s">
        <v>385</v>
      </c>
      <c r="H1" s="6" t="s">
        <v>5</v>
      </c>
      <c r="I1" s="6" t="s">
        <v>6</v>
      </c>
      <c r="J1" s="6" t="s">
        <v>7</v>
      </c>
      <c r="K1" s="6" t="s">
        <v>228</v>
      </c>
      <c r="L1" s="6" t="s">
        <v>229</v>
      </c>
      <c r="M1" s="6" t="s">
        <v>230</v>
      </c>
      <c r="N1" s="6" t="s">
        <v>306</v>
      </c>
      <c r="O1" s="6" t="s">
        <v>307</v>
      </c>
      <c r="P1" s="6" t="s">
        <v>167</v>
      </c>
      <c r="Q1" s="6" t="s">
        <v>9</v>
      </c>
      <c r="R1" s="6" t="s">
        <v>737</v>
      </c>
      <c r="S1" s="6" t="s">
        <v>10</v>
      </c>
      <c r="T1" s="6" t="s">
        <v>11</v>
      </c>
      <c r="U1" s="6" t="s">
        <v>12</v>
      </c>
      <c r="V1" s="6" t="s">
        <v>13</v>
      </c>
      <c r="W1" s="6" t="s">
        <v>14</v>
      </c>
      <c r="X1" s="7"/>
    </row>
    <row r="2" spans="1:24" x14ac:dyDescent="0.25">
      <c r="A2" s="1">
        <v>1</v>
      </c>
      <c r="B2" s="2" t="s">
        <v>288</v>
      </c>
      <c r="C2" s="2"/>
      <c r="D2" s="2"/>
      <c r="E2" s="2" t="s">
        <v>653</v>
      </c>
      <c r="F2" s="2"/>
      <c r="G2" s="2" t="s">
        <v>16</v>
      </c>
      <c r="H2" s="2">
        <v>95</v>
      </c>
      <c r="I2" s="2">
        <v>59</v>
      </c>
      <c r="J2" s="2">
        <v>85</v>
      </c>
      <c r="K2" s="2">
        <v>82</v>
      </c>
      <c r="L2" s="2">
        <v>88</v>
      </c>
      <c r="M2" s="2">
        <v>91</v>
      </c>
      <c r="N2" s="2">
        <v>99</v>
      </c>
      <c r="O2" s="13">
        <v>89</v>
      </c>
      <c r="P2" s="13">
        <v>94</v>
      </c>
      <c r="Q2" s="13" t="s">
        <v>19</v>
      </c>
      <c r="R2" s="13" t="s">
        <v>20</v>
      </c>
      <c r="S2" s="13">
        <v>782</v>
      </c>
      <c r="T2" s="13">
        <v>86.87</v>
      </c>
      <c r="U2" s="13">
        <v>8</v>
      </c>
      <c r="V2" s="13" t="s">
        <v>20</v>
      </c>
      <c r="W2" s="13"/>
    </row>
    <row r="3" spans="1:24" x14ac:dyDescent="0.25">
      <c r="A3" s="1"/>
      <c r="B3" s="2"/>
      <c r="C3" s="2"/>
      <c r="D3" s="2"/>
      <c r="E3" s="2"/>
      <c r="F3" s="2"/>
      <c r="G3" s="2" t="s">
        <v>17</v>
      </c>
      <c r="H3" s="2">
        <v>96</v>
      </c>
      <c r="I3" s="2">
        <v>64</v>
      </c>
      <c r="J3" s="2">
        <v>89</v>
      </c>
      <c r="K3" s="2">
        <v>68</v>
      </c>
      <c r="L3" s="2">
        <v>80</v>
      </c>
      <c r="M3" s="2">
        <v>91</v>
      </c>
      <c r="N3" s="2">
        <v>99</v>
      </c>
      <c r="O3" s="2">
        <v>89</v>
      </c>
      <c r="P3" s="2">
        <v>94</v>
      </c>
      <c r="Q3" s="2"/>
      <c r="R3" s="2" t="s">
        <v>20</v>
      </c>
      <c r="S3" s="2">
        <v>757</v>
      </c>
      <c r="T3" s="2">
        <v>84.11</v>
      </c>
      <c r="U3" s="2">
        <v>7</v>
      </c>
      <c r="V3" s="2" t="s">
        <v>19</v>
      </c>
      <c r="W3" s="2"/>
    </row>
    <row r="4" spans="1:24" x14ac:dyDescent="0.25">
      <c r="A4" s="1">
        <v>2</v>
      </c>
      <c r="B4" s="9" t="s">
        <v>289</v>
      </c>
      <c r="C4" s="9"/>
      <c r="D4" s="2"/>
      <c r="E4" s="2" t="s">
        <v>654</v>
      </c>
      <c r="F4" s="2"/>
      <c r="G4" s="2" t="s">
        <v>16</v>
      </c>
      <c r="H4" s="2">
        <v>93</v>
      </c>
      <c r="I4" s="2">
        <v>54</v>
      </c>
      <c r="J4" s="2">
        <v>80</v>
      </c>
      <c r="K4" s="2">
        <v>56</v>
      </c>
      <c r="L4" s="2">
        <v>81</v>
      </c>
      <c r="M4" s="2">
        <v>68</v>
      </c>
      <c r="N4" s="2">
        <v>97</v>
      </c>
      <c r="O4" s="2">
        <v>76</v>
      </c>
      <c r="P4" s="2">
        <v>93</v>
      </c>
      <c r="Q4" s="2" t="s">
        <v>21</v>
      </c>
      <c r="R4" s="2" t="s">
        <v>20</v>
      </c>
      <c r="S4" s="2">
        <v>698</v>
      </c>
      <c r="T4" s="2">
        <v>77.55</v>
      </c>
      <c r="U4" s="2">
        <v>15</v>
      </c>
      <c r="V4" s="2" t="s">
        <v>20</v>
      </c>
      <c r="W4" s="2"/>
    </row>
    <row r="5" spans="1:24" x14ac:dyDescent="0.25">
      <c r="A5" s="1"/>
      <c r="B5" s="2"/>
      <c r="C5" s="2"/>
      <c r="D5" s="2"/>
      <c r="E5" s="2"/>
      <c r="F5" s="2"/>
      <c r="G5" s="2" t="s">
        <v>17</v>
      </c>
      <c r="H5" s="2">
        <v>92</v>
      </c>
      <c r="I5" s="2">
        <v>63</v>
      </c>
      <c r="J5" s="2">
        <v>91</v>
      </c>
      <c r="K5" s="2">
        <v>66</v>
      </c>
      <c r="L5" s="2">
        <v>82</v>
      </c>
      <c r="M5" s="2">
        <v>87</v>
      </c>
      <c r="N5" s="2">
        <v>97</v>
      </c>
      <c r="O5" s="2">
        <v>82</v>
      </c>
      <c r="P5" s="2">
        <v>94</v>
      </c>
      <c r="Q5" s="2"/>
      <c r="R5" s="2" t="s">
        <v>20</v>
      </c>
      <c r="S5" s="2">
        <v>754</v>
      </c>
      <c r="T5" s="2">
        <v>83.77</v>
      </c>
      <c r="U5" s="2">
        <v>8</v>
      </c>
      <c r="V5" s="2" t="s">
        <v>20</v>
      </c>
      <c r="W5" s="2"/>
    </row>
    <row r="6" spans="1:24" x14ac:dyDescent="0.25">
      <c r="A6" s="1">
        <v>3</v>
      </c>
      <c r="B6" s="2" t="s">
        <v>290</v>
      </c>
      <c r="C6" s="2"/>
      <c r="D6" s="2"/>
      <c r="E6" s="2" t="s">
        <v>655</v>
      </c>
      <c r="F6" s="2"/>
      <c r="G6" s="2" t="s">
        <v>16</v>
      </c>
      <c r="H6" s="2">
        <v>82</v>
      </c>
      <c r="I6" s="2">
        <v>76</v>
      </c>
      <c r="J6" s="2">
        <v>61</v>
      </c>
      <c r="K6" s="2">
        <v>78</v>
      </c>
      <c r="L6" s="2">
        <v>86</v>
      </c>
      <c r="M6" s="2">
        <v>79</v>
      </c>
      <c r="N6" s="2">
        <v>90</v>
      </c>
      <c r="O6" s="2">
        <v>73</v>
      </c>
      <c r="P6" s="2">
        <v>90</v>
      </c>
      <c r="Q6" s="2" t="s">
        <v>21</v>
      </c>
      <c r="R6" s="2" t="s">
        <v>20</v>
      </c>
      <c r="S6" s="2">
        <v>715</v>
      </c>
      <c r="T6" s="2">
        <v>79.44</v>
      </c>
      <c r="U6" s="2">
        <v>12</v>
      </c>
      <c r="V6" s="2" t="s">
        <v>20</v>
      </c>
      <c r="W6" s="2"/>
    </row>
    <row r="7" spans="1:24" x14ac:dyDescent="0.25">
      <c r="A7" s="1"/>
      <c r="B7" s="2"/>
      <c r="C7" s="2"/>
      <c r="D7" s="2"/>
      <c r="E7" s="2"/>
      <c r="F7" s="2"/>
      <c r="G7" s="2" t="s">
        <v>17</v>
      </c>
      <c r="H7" s="2">
        <v>72</v>
      </c>
      <c r="I7" s="2">
        <v>75</v>
      </c>
      <c r="J7" s="2">
        <v>74</v>
      </c>
      <c r="K7" s="2">
        <v>64</v>
      </c>
      <c r="L7" s="2">
        <v>71</v>
      </c>
      <c r="M7" s="2">
        <v>72</v>
      </c>
      <c r="N7" s="2">
        <v>98</v>
      </c>
      <c r="O7" s="2">
        <v>72</v>
      </c>
      <c r="P7" s="2">
        <v>96</v>
      </c>
      <c r="Q7" s="2"/>
      <c r="R7" s="2" t="s">
        <v>20</v>
      </c>
      <c r="S7" s="2">
        <v>694</v>
      </c>
      <c r="T7" s="2">
        <v>77.11</v>
      </c>
      <c r="U7" s="2">
        <v>12</v>
      </c>
      <c r="V7" s="2" t="s">
        <v>19</v>
      </c>
      <c r="W7" s="2"/>
    </row>
    <row r="8" spans="1:24" x14ac:dyDescent="0.25">
      <c r="A8" s="1">
        <v>4</v>
      </c>
      <c r="B8" s="2" t="s">
        <v>291</v>
      </c>
      <c r="C8" s="2"/>
      <c r="D8" s="2"/>
      <c r="E8" s="2" t="s">
        <v>656</v>
      </c>
      <c r="F8" s="2"/>
      <c r="G8" s="2" t="s">
        <v>16</v>
      </c>
      <c r="H8" s="2">
        <v>91</v>
      </c>
      <c r="I8" s="2">
        <v>64</v>
      </c>
      <c r="J8" s="2">
        <v>87</v>
      </c>
      <c r="K8" s="2">
        <v>64</v>
      </c>
      <c r="L8" s="2">
        <v>77</v>
      </c>
      <c r="M8" s="2">
        <v>73</v>
      </c>
      <c r="N8" s="2">
        <v>87</v>
      </c>
      <c r="O8" s="2">
        <v>70</v>
      </c>
      <c r="P8" s="2">
        <v>96</v>
      </c>
      <c r="Q8" s="2" t="s">
        <v>19</v>
      </c>
      <c r="R8" s="2" t="s">
        <v>20</v>
      </c>
      <c r="S8" s="2">
        <v>709</v>
      </c>
      <c r="T8" s="2">
        <v>78.78</v>
      </c>
      <c r="U8" s="2">
        <v>14</v>
      </c>
      <c r="V8" s="2" t="s">
        <v>20</v>
      </c>
      <c r="W8" s="2"/>
    </row>
    <row r="9" spans="1:24" x14ac:dyDescent="0.25">
      <c r="A9" s="1"/>
      <c r="B9" s="2"/>
      <c r="C9" s="2"/>
      <c r="D9" s="2"/>
      <c r="E9" s="2"/>
      <c r="F9" s="2"/>
      <c r="G9" s="2" t="s">
        <v>17</v>
      </c>
      <c r="H9" s="2">
        <v>86</v>
      </c>
      <c r="I9" s="2">
        <v>70</v>
      </c>
      <c r="J9" s="2">
        <v>91</v>
      </c>
      <c r="K9" s="2">
        <v>72</v>
      </c>
      <c r="L9" s="2">
        <v>85</v>
      </c>
      <c r="M9" s="2">
        <v>84</v>
      </c>
      <c r="N9" s="2">
        <v>85</v>
      </c>
      <c r="O9" s="2">
        <v>71</v>
      </c>
      <c r="P9" s="2">
        <v>98</v>
      </c>
      <c r="Q9" s="2"/>
      <c r="R9" s="2" t="s">
        <v>20</v>
      </c>
      <c r="S9" s="2">
        <v>742</v>
      </c>
      <c r="T9" s="2">
        <v>82.44</v>
      </c>
      <c r="U9" s="2">
        <v>9</v>
      </c>
      <c r="V9" s="2" t="s">
        <v>20</v>
      </c>
      <c r="W9" s="2"/>
    </row>
    <row r="10" spans="1:24" x14ac:dyDescent="0.25">
      <c r="A10" s="1">
        <v>5</v>
      </c>
      <c r="B10" s="2" t="s">
        <v>292</v>
      </c>
      <c r="C10" s="2"/>
      <c r="D10" s="2"/>
      <c r="E10" s="2" t="s">
        <v>657</v>
      </c>
      <c r="F10" s="2"/>
      <c r="G10" s="2" t="s">
        <v>16</v>
      </c>
      <c r="H10" s="2">
        <v>88</v>
      </c>
      <c r="I10" s="2">
        <v>83</v>
      </c>
      <c r="J10" s="2">
        <v>81</v>
      </c>
      <c r="K10" s="2">
        <v>79</v>
      </c>
      <c r="L10" s="2">
        <v>100</v>
      </c>
      <c r="M10" s="2">
        <v>84</v>
      </c>
      <c r="N10" s="2">
        <v>99</v>
      </c>
      <c r="O10" s="2">
        <v>95</v>
      </c>
      <c r="P10" s="2">
        <v>93</v>
      </c>
      <c r="Q10" s="2" t="s">
        <v>19</v>
      </c>
      <c r="R10" s="2" t="s">
        <v>20</v>
      </c>
      <c r="S10" s="2">
        <v>802</v>
      </c>
      <c r="T10" s="2">
        <v>89.11</v>
      </c>
      <c r="U10" s="2">
        <v>5</v>
      </c>
      <c r="V10" s="2" t="s">
        <v>19</v>
      </c>
      <c r="W10" s="2"/>
    </row>
    <row r="11" spans="1:24" x14ac:dyDescent="0.25">
      <c r="A11" s="1"/>
      <c r="B11" s="2"/>
      <c r="C11" s="2"/>
      <c r="D11" s="2"/>
      <c r="E11" s="2"/>
      <c r="F11" s="2"/>
      <c r="G11" s="2" t="s">
        <v>17</v>
      </c>
      <c r="H11" s="2">
        <v>80</v>
      </c>
      <c r="I11" s="2">
        <v>82</v>
      </c>
      <c r="J11" s="2">
        <v>89</v>
      </c>
      <c r="K11" s="2">
        <v>81</v>
      </c>
      <c r="L11" s="2">
        <v>84</v>
      </c>
      <c r="M11" s="2">
        <v>83</v>
      </c>
      <c r="N11" s="2">
        <v>100</v>
      </c>
      <c r="O11" s="2">
        <v>88</v>
      </c>
      <c r="P11" s="2">
        <v>100</v>
      </c>
      <c r="Q11" s="2"/>
      <c r="R11" s="2" t="s">
        <v>20</v>
      </c>
      <c r="S11" s="2">
        <v>793</v>
      </c>
      <c r="T11" s="2">
        <v>88.11</v>
      </c>
      <c r="U11" s="2">
        <v>4</v>
      </c>
      <c r="V11" s="2" t="s">
        <v>20</v>
      </c>
      <c r="W11" s="2"/>
    </row>
    <row r="12" spans="1:24" x14ac:dyDescent="0.25">
      <c r="A12" s="1">
        <v>6</v>
      </c>
      <c r="B12" s="9" t="s">
        <v>293</v>
      </c>
      <c r="C12" s="9"/>
      <c r="D12" s="2"/>
      <c r="E12" s="2" t="s">
        <v>658</v>
      </c>
      <c r="F12" s="2"/>
      <c r="G12" s="2" t="s">
        <v>16</v>
      </c>
      <c r="H12" s="2">
        <v>88</v>
      </c>
      <c r="I12" s="2">
        <v>83</v>
      </c>
      <c r="J12" s="2">
        <v>76</v>
      </c>
      <c r="K12" s="2">
        <v>69</v>
      </c>
      <c r="L12" s="2">
        <v>93</v>
      </c>
      <c r="M12" s="2">
        <v>96</v>
      </c>
      <c r="N12" s="2">
        <v>96</v>
      </c>
      <c r="O12" s="2">
        <v>92</v>
      </c>
      <c r="P12" s="2">
        <v>98</v>
      </c>
      <c r="Q12" s="2" t="s">
        <v>19</v>
      </c>
      <c r="R12" s="2" t="s">
        <v>20</v>
      </c>
      <c r="S12" s="2">
        <v>791</v>
      </c>
      <c r="T12" s="2">
        <v>87.89</v>
      </c>
      <c r="U12" s="2">
        <v>6</v>
      </c>
      <c r="V12" s="2" t="s">
        <v>20</v>
      </c>
      <c r="W12" s="2"/>
    </row>
    <row r="13" spans="1:24" x14ac:dyDescent="0.25">
      <c r="A13" s="1"/>
      <c r="B13" s="2"/>
      <c r="C13" s="2"/>
      <c r="D13" s="2"/>
      <c r="E13" s="2"/>
      <c r="F13" s="2"/>
      <c r="G13" s="2" t="s">
        <v>17</v>
      </c>
      <c r="H13" s="2">
        <v>74</v>
      </c>
      <c r="I13" s="2">
        <v>74</v>
      </c>
      <c r="J13" s="2">
        <v>86</v>
      </c>
      <c r="K13" s="2">
        <v>68</v>
      </c>
      <c r="L13" s="2">
        <v>93</v>
      </c>
      <c r="M13" s="2">
        <v>88</v>
      </c>
      <c r="N13" s="2">
        <v>95</v>
      </c>
      <c r="O13" s="2">
        <v>85</v>
      </c>
      <c r="P13" s="2">
        <v>97</v>
      </c>
      <c r="Q13" s="2"/>
      <c r="R13" s="2" t="s">
        <v>20</v>
      </c>
      <c r="S13" s="2">
        <v>760</v>
      </c>
      <c r="T13" s="2">
        <v>84.44</v>
      </c>
      <c r="U13" s="2">
        <v>6</v>
      </c>
      <c r="V13" s="2" t="s">
        <v>20</v>
      </c>
      <c r="W13" s="2"/>
    </row>
    <row r="14" spans="1:24" x14ac:dyDescent="0.25">
      <c r="A14" s="1">
        <v>7</v>
      </c>
      <c r="B14" s="2" t="s">
        <v>294</v>
      </c>
      <c r="C14" s="2"/>
      <c r="D14" s="2"/>
      <c r="E14" s="2" t="s">
        <v>659</v>
      </c>
      <c r="F14" s="2"/>
      <c r="G14" s="2" t="s">
        <v>16</v>
      </c>
      <c r="H14" s="2">
        <v>91</v>
      </c>
      <c r="I14" s="2">
        <v>75</v>
      </c>
      <c r="J14" s="2">
        <v>77</v>
      </c>
      <c r="K14" s="2">
        <v>74</v>
      </c>
      <c r="L14" s="2">
        <v>81</v>
      </c>
      <c r="M14" s="2">
        <v>77</v>
      </c>
      <c r="N14" s="2">
        <v>90</v>
      </c>
      <c r="O14" s="2">
        <v>82</v>
      </c>
      <c r="P14" s="2">
        <v>99</v>
      </c>
      <c r="Q14" s="2" t="s">
        <v>20</v>
      </c>
      <c r="R14" s="10" t="s">
        <v>20</v>
      </c>
      <c r="S14" s="10">
        <v>746</v>
      </c>
      <c r="T14" s="10">
        <v>83.89</v>
      </c>
      <c r="U14" s="10">
        <v>9</v>
      </c>
      <c r="V14" s="2" t="s">
        <v>19</v>
      </c>
      <c r="W14" s="2"/>
    </row>
    <row r="15" spans="1:24" x14ac:dyDescent="0.25">
      <c r="A15" s="1"/>
      <c r="B15" s="2"/>
      <c r="C15" s="2"/>
      <c r="D15" s="2"/>
      <c r="E15" s="2"/>
      <c r="F15" s="2"/>
      <c r="G15" s="2" t="s">
        <v>17</v>
      </c>
      <c r="H15" s="2">
        <v>81</v>
      </c>
      <c r="I15" s="2">
        <v>77</v>
      </c>
      <c r="J15" s="2">
        <v>83</v>
      </c>
      <c r="K15" s="2">
        <v>74</v>
      </c>
      <c r="L15" s="2">
        <v>71</v>
      </c>
      <c r="M15" s="2">
        <v>88</v>
      </c>
      <c r="N15" s="2">
        <v>84</v>
      </c>
      <c r="O15" s="2">
        <v>78</v>
      </c>
      <c r="P15" s="2">
        <v>98</v>
      </c>
      <c r="Q15" s="2"/>
      <c r="R15" s="2" t="s">
        <v>20</v>
      </c>
      <c r="S15" s="2">
        <v>734</v>
      </c>
      <c r="T15" s="2">
        <v>81.55</v>
      </c>
      <c r="U15" s="2">
        <v>10</v>
      </c>
      <c r="V15" s="2" t="s">
        <v>20</v>
      </c>
      <c r="W15" s="2"/>
    </row>
    <row r="16" spans="1:24" x14ac:dyDescent="0.25">
      <c r="A16" s="1">
        <v>8</v>
      </c>
      <c r="B16" s="9" t="s">
        <v>295</v>
      </c>
      <c r="C16" s="9"/>
      <c r="D16" s="2"/>
      <c r="E16" s="2" t="s">
        <v>660</v>
      </c>
      <c r="F16" s="2"/>
      <c r="G16" s="2" t="s">
        <v>16</v>
      </c>
      <c r="H16" s="2">
        <v>97</v>
      </c>
      <c r="I16" s="2">
        <v>76</v>
      </c>
      <c r="J16" s="2">
        <v>79</v>
      </c>
      <c r="K16" s="2">
        <v>80</v>
      </c>
      <c r="L16" s="2">
        <v>88</v>
      </c>
      <c r="M16" s="2">
        <v>82</v>
      </c>
      <c r="N16" s="2">
        <v>99</v>
      </c>
      <c r="O16" s="2">
        <v>90</v>
      </c>
      <c r="P16" s="2">
        <v>94</v>
      </c>
      <c r="Q16" s="2" t="s">
        <v>19</v>
      </c>
      <c r="R16" s="2" t="s">
        <v>20</v>
      </c>
      <c r="S16" s="2">
        <v>785</v>
      </c>
      <c r="T16" s="2">
        <v>87.22</v>
      </c>
      <c r="U16" s="2">
        <v>7</v>
      </c>
      <c r="V16" s="2" t="s">
        <v>21</v>
      </c>
      <c r="W16" s="2"/>
    </row>
    <row r="17" spans="1:23" x14ac:dyDescent="0.25">
      <c r="A17" s="1"/>
      <c r="B17" s="2"/>
      <c r="C17" s="2"/>
      <c r="D17" s="2"/>
      <c r="E17" s="2"/>
      <c r="F17" s="2"/>
      <c r="G17" s="2" t="s">
        <v>17</v>
      </c>
      <c r="H17" s="2">
        <v>91</v>
      </c>
      <c r="I17" s="2">
        <v>64</v>
      </c>
      <c r="J17" s="2">
        <v>92</v>
      </c>
      <c r="K17" s="2">
        <v>75</v>
      </c>
      <c r="L17" s="2">
        <v>79</v>
      </c>
      <c r="M17" s="2">
        <v>90</v>
      </c>
      <c r="N17" s="2">
        <v>94</v>
      </c>
      <c r="O17" s="2">
        <v>89</v>
      </c>
      <c r="P17" s="2">
        <v>99</v>
      </c>
      <c r="Q17" s="2"/>
      <c r="R17" s="2" t="s">
        <v>20</v>
      </c>
      <c r="S17" s="2">
        <v>773</v>
      </c>
      <c r="T17" s="2">
        <v>85.88</v>
      </c>
      <c r="U17" s="2">
        <v>5</v>
      </c>
      <c r="V17" s="2" t="s">
        <v>19</v>
      </c>
      <c r="W17" s="2"/>
    </row>
    <row r="18" spans="1:23" s="14" customFormat="1" x14ac:dyDescent="0.25">
      <c r="A18" s="17">
        <v>9</v>
      </c>
      <c r="B18" s="9" t="s">
        <v>296</v>
      </c>
      <c r="C18" s="9"/>
      <c r="D18" s="9"/>
      <c r="E18" s="9" t="s">
        <v>661</v>
      </c>
      <c r="F18" s="9"/>
      <c r="G18" s="9" t="s">
        <v>16</v>
      </c>
      <c r="H18" s="9">
        <v>90</v>
      </c>
      <c r="I18" s="9">
        <v>75</v>
      </c>
      <c r="J18" s="9">
        <v>88</v>
      </c>
      <c r="K18" s="9">
        <v>81</v>
      </c>
      <c r="L18" s="9">
        <v>95</v>
      </c>
      <c r="M18" s="9">
        <v>97</v>
      </c>
      <c r="N18" s="9">
        <v>90</v>
      </c>
      <c r="O18" s="9">
        <v>89</v>
      </c>
      <c r="P18" s="9">
        <v>100</v>
      </c>
      <c r="Q18" s="9" t="s">
        <v>21</v>
      </c>
      <c r="R18" s="9" t="s">
        <v>20</v>
      </c>
      <c r="S18" s="9">
        <v>805</v>
      </c>
      <c r="T18" s="9">
        <v>89.44</v>
      </c>
      <c r="U18" s="9">
        <v>4</v>
      </c>
      <c r="V18" s="9" t="s">
        <v>20</v>
      </c>
      <c r="W18" s="9"/>
    </row>
    <row r="19" spans="1:23" s="14" customFormat="1" x14ac:dyDescent="0.25">
      <c r="A19" s="17"/>
      <c r="B19" s="9"/>
      <c r="C19" s="9"/>
      <c r="D19" s="9"/>
      <c r="E19" s="9"/>
      <c r="F19" s="9"/>
      <c r="G19" s="9" t="s">
        <v>17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x14ac:dyDescent="0.25">
      <c r="A20" s="1">
        <v>10</v>
      </c>
      <c r="B20" s="2" t="s">
        <v>297</v>
      </c>
      <c r="C20" s="2"/>
      <c r="D20" s="2"/>
      <c r="E20" s="2" t="s">
        <v>662</v>
      </c>
      <c r="F20" s="2"/>
      <c r="G20" s="2" t="s">
        <v>16</v>
      </c>
      <c r="H20" s="2">
        <v>76</v>
      </c>
      <c r="I20" s="2">
        <v>66</v>
      </c>
      <c r="J20" s="2">
        <v>72</v>
      </c>
      <c r="K20" s="2">
        <v>64</v>
      </c>
      <c r="L20" s="2">
        <v>86</v>
      </c>
      <c r="M20" s="2">
        <v>94</v>
      </c>
      <c r="N20" s="2">
        <v>83</v>
      </c>
      <c r="O20" s="2">
        <v>77</v>
      </c>
      <c r="P20" s="2">
        <v>93</v>
      </c>
      <c r="Q20" s="2" t="s">
        <v>21</v>
      </c>
      <c r="R20" s="2" t="s">
        <v>20</v>
      </c>
      <c r="S20" s="2">
        <v>711</v>
      </c>
      <c r="T20" s="2">
        <v>79</v>
      </c>
      <c r="U20" s="2">
        <v>13</v>
      </c>
      <c r="V20" s="2" t="s">
        <v>20</v>
      </c>
      <c r="W20" s="2"/>
    </row>
    <row r="21" spans="1:23" x14ac:dyDescent="0.25">
      <c r="A21" s="1"/>
      <c r="B21" s="2"/>
      <c r="C21" s="2"/>
      <c r="D21" s="2"/>
      <c r="E21" s="2"/>
      <c r="F21" s="2"/>
      <c r="G21" s="2" t="s">
        <v>17</v>
      </c>
      <c r="H21" s="2">
        <v>71</v>
      </c>
      <c r="I21" s="2">
        <v>68</v>
      </c>
      <c r="J21" s="2">
        <v>85</v>
      </c>
      <c r="K21" s="2">
        <v>54</v>
      </c>
      <c r="L21" s="2">
        <v>74</v>
      </c>
      <c r="M21" s="2">
        <v>78</v>
      </c>
      <c r="N21" s="2">
        <v>85</v>
      </c>
      <c r="O21" s="2">
        <v>68</v>
      </c>
      <c r="P21" s="2">
        <v>75</v>
      </c>
      <c r="Q21" s="2"/>
      <c r="R21" s="2" t="s">
        <v>20</v>
      </c>
      <c r="S21" s="2">
        <v>658</v>
      </c>
      <c r="T21" s="2">
        <v>73.11</v>
      </c>
      <c r="U21" s="2">
        <v>15</v>
      </c>
      <c r="V21" s="2" t="s">
        <v>20</v>
      </c>
      <c r="W21" s="2"/>
    </row>
    <row r="22" spans="1:23" x14ac:dyDescent="0.25">
      <c r="A22" s="1">
        <v>11</v>
      </c>
      <c r="B22" s="2" t="s">
        <v>298</v>
      </c>
      <c r="C22" s="2"/>
      <c r="D22" s="2"/>
      <c r="E22" s="2" t="s">
        <v>663</v>
      </c>
      <c r="F22" s="2"/>
      <c r="G22" s="2" t="s">
        <v>16</v>
      </c>
      <c r="H22" s="2">
        <v>97</v>
      </c>
      <c r="I22" s="2">
        <v>64</v>
      </c>
      <c r="J22" s="2">
        <v>65</v>
      </c>
      <c r="K22" s="2">
        <v>66</v>
      </c>
      <c r="L22" s="2">
        <v>78</v>
      </c>
      <c r="M22" s="2">
        <v>71</v>
      </c>
      <c r="N22" s="2">
        <v>85</v>
      </c>
      <c r="O22" s="2">
        <v>45</v>
      </c>
      <c r="P22" s="2">
        <v>92</v>
      </c>
      <c r="Q22" s="2" t="s">
        <v>21</v>
      </c>
      <c r="R22" s="2" t="s">
        <v>20</v>
      </c>
      <c r="S22" s="2">
        <v>663</v>
      </c>
      <c r="T22" s="2">
        <v>73.67</v>
      </c>
      <c r="U22" s="2">
        <v>16</v>
      </c>
      <c r="V22" s="2" t="s">
        <v>20</v>
      </c>
      <c r="W22" s="2"/>
    </row>
    <row r="23" spans="1:23" x14ac:dyDescent="0.25">
      <c r="A23" s="1"/>
      <c r="B23" s="2"/>
      <c r="C23" s="2"/>
      <c r="D23" s="2"/>
      <c r="E23" s="2"/>
      <c r="F23" s="2"/>
      <c r="G23" s="2" t="s">
        <v>17</v>
      </c>
      <c r="H23" s="2">
        <v>81</v>
      </c>
      <c r="I23" s="2">
        <v>59</v>
      </c>
      <c r="J23" s="2">
        <v>75</v>
      </c>
      <c r="K23" s="2">
        <v>59</v>
      </c>
      <c r="L23" s="2">
        <v>75</v>
      </c>
      <c r="M23" s="2">
        <v>76</v>
      </c>
      <c r="N23" s="2">
        <v>79</v>
      </c>
      <c r="O23" s="2">
        <v>72</v>
      </c>
      <c r="P23" s="2">
        <v>85</v>
      </c>
      <c r="Q23" s="2"/>
      <c r="R23" s="2" t="s">
        <v>20</v>
      </c>
      <c r="S23" s="2">
        <v>661</v>
      </c>
      <c r="T23" s="2">
        <v>73.44</v>
      </c>
      <c r="U23" s="2">
        <v>14</v>
      </c>
      <c r="V23" s="2" t="s">
        <v>20</v>
      </c>
      <c r="W23" s="2"/>
    </row>
    <row r="24" spans="1:23" s="14" customFormat="1" x14ac:dyDescent="0.25">
      <c r="A24" s="17">
        <v>12</v>
      </c>
      <c r="B24" s="9" t="s">
        <v>299</v>
      </c>
      <c r="C24" s="9"/>
      <c r="D24" s="9"/>
      <c r="E24" s="9" t="s">
        <v>664</v>
      </c>
      <c r="F24" s="9"/>
      <c r="G24" s="9" t="s">
        <v>16</v>
      </c>
      <c r="H24" s="9">
        <v>78</v>
      </c>
      <c r="I24" s="9">
        <v>72</v>
      </c>
      <c r="J24" s="9">
        <v>73</v>
      </c>
      <c r="K24" s="9">
        <v>62</v>
      </c>
      <c r="L24" s="9">
        <v>86</v>
      </c>
      <c r="M24" s="9">
        <v>79</v>
      </c>
      <c r="N24" s="9">
        <v>96</v>
      </c>
      <c r="O24" s="9">
        <v>79</v>
      </c>
      <c r="P24" s="9">
        <v>92</v>
      </c>
      <c r="Q24" s="9"/>
      <c r="R24" s="9" t="s">
        <v>20</v>
      </c>
      <c r="S24" s="9">
        <v>717</v>
      </c>
      <c r="T24" s="9">
        <v>79.67</v>
      </c>
      <c r="U24" s="9">
        <v>11</v>
      </c>
      <c r="V24" s="9" t="s">
        <v>21</v>
      </c>
      <c r="W24" s="9"/>
    </row>
    <row r="25" spans="1:23" s="14" customFormat="1" x14ac:dyDescent="0.25">
      <c r="A25" s="17"/>
      <c r="B25" s="9"/>
      <c r="C25" s="9"/>
      <c r="D25" s="9"/>
      <c r="E25" s="9"/>
      <c r="F25" s="9"/>
      <c r="G25" s="9" t="s">
        <v>17</v>
      </c>
      <c r="H25" s="9">
        <v>69</v>
      </c>
      <c r="I25" s="9">
        <v>71</v>
      </c>
      <c r="J25" s="9">
        <v>83</v>
      </c>
      <c r="K25" s="9">
        <v>54</v>
      </c>
      <c r="L25" s="9">
        <v>76</v>
      </c>
      <c r="M25" s="9">
        <v>81</v>
      </c>
      <c r="N25" s="9">
        <v>93</v>
      </c>
      <c r="O25" s="9">
        <v>61</v>
      </c>
      <c r="P25" s="9">
        <v>84</v>
      </c>
      <c r="Q25" s="9"/>
      <c r="R25" s="9" t="s">
        <v>20</v>
      </c>
      <c r="S25" s="9">
        <v>672</v>
      </c>
      <c r="T25" s="9">
        <v>74.67</v>
      </c>
      <c r="U25" s="9">
        <v>13</v>
      </c>
      <c r="V25" s="9"/>
      <c r="W25" s="9"/>
    </row>
    <row r="26" spans="1:23" x14ac:dyDescent="0.25">
      <c r="A26" s="1">
        <v>13</v>
      </c>
      <c r="B26" s="2" t="s">
        <v>300</v>
      </c>
      <c r="C26" s="2"/>
      <c r="D26" s="2"/>
      <c r="E26" s="2" t="s">
        <v>665</v>
      </c>
      <c r="F26" s="2"/>
      <c r="G26" s="2" t="s">
        <v>16</v>
      </c>
      <c r="H26" s="2">
        <v>95</v>
      </c>
      <c r="I26" s="2">
        <v>91</v>
      </c>
      <c r="J26" s="2">
        <v>100</v>
      </c>
      <c r="K26" s="2">
        <v>93</v>
      </c>
      <c r="L26" s="2">
        <v>100</v>
      </c>
      <c r="M26" s="2">
        <v>96</v>
      </c>
      <c r="N26" s="2">
        <v>99</v>
      </c>
      <c r="O26" s="2">
        <v>94</v>
      </c>
      <c r="P26" s="2">
        <v>98</v>
      </c>
      <c r="Q26" s="2" t="s">
        <v>20</v>
      </c>
      <c r="R26" s="2" t="s">
        <v>20</v>
      </c>
      <c r="S26" s="2">
        <v>866</v>
      </c>
      <c r="T26" s="2">
        <v>96.22</v>
      </c>
      <c r="U26" s="2">
        <v>1</v>
      </c>
      <c r="V26" s="2" t="s">
        <v>19</v>
      </c>
      <c r="W26" s="2"/>
    </row>
    <row r="27" spans="1:23" x14ac:dyDescent="0.25">
      <c r="A27" s="1"/>
      <c r="B27" s="2"/>
      <c r="C27" s="2"/>
      <c r="D27" s="2"/>
      <c r="E27" s="2"/>
      <c r="F27" s="2"/>
      <c r="G27" s="2" t="s">
        <v>17</v>
      </c>
      <c r="H27" s="2">
        <v>97</v>
      </c>
      <c r="I27" s="2">
        <v>92</v>
      </c>
      <c r="J27" s="2">
        <v>100</v>
      </c>
      <c r="K27" s="2">
        <v>97</v>
      </c>
      <c r="L27" s="2">
        <v>100</v>
      </c>
      <c r="M27" s="2">
        <v>99</v>
      </c>
      <c r="N27" s="2">
        <v>100</v>
      </c>
      <c r="O27" s="2">
        <v>96</v>
      </c>
      <c r="P27" s="2">
        <v>99</v>
      </c>
      <c r="Q27" s="2"/>
      <c r="R27" s="2" t="s">
        <v>20</v>
      </c>
      <c r="S27" s="2">
        <v>880</v>
      </c>
      <c r="T27" s="2">
        <v>97.78</v>
      </c>
      <c r="U27" s="2">
        <v>1</v>
      </c>
      <c r="V27" s="2"/>
      <c r="W27" s="2"/>
    </row>
    <row r="28" spans="1:23" x14ac:dyDescent="0.25">
      <c r="A28" s="3">
        <v>14</v>
      </c>
      <c r="B28" s="4" t="s">
        <v>301</v>
      </c>
      <c r="C28" s="4"/>
      <c r="D28" s="4" t="s">
        <v>42</v>
      </c>
      <c r="E28" s="12" t="s">
        <v>731</v>
      </c>
      <c r="F28" s="4"/>
      <c r="G28" s="2" t="s">
        <v>16</v>
      </c>
      <c r="H28" s="2">
        <v>93</v>
      </c>
      <c r="I28" s="2">
        <v>84</v>
      </c>
      <c r="J28" s="2">
        <v>100</v>
      </c>
      <c r="K28" s="2">
        <v>89</v>
      </c>
      <c r="L28" s="2">
        <v>100</v>
      </c>
      <c r="M28" s="2">
        <v>96</v>
      </c>
      <c r="N28" s="2">
        <v>100</v>
      </c>
      <c r="O28" s="2">
        <v>97</v>
      </c>
      <c r="P28" s="2">
        <v>99</v>
      </c>
      <c r="Q28" s="2" t="s">
        <v>20</v>
      </c>
      <c r="R28" s="2" t="s">
        <v>20</v>
      </c>
      <c r="S28" s="2">
        <v>858</v>
      </c>
      <c r="T28" s="2">
        <v>95.33</v>
      </c>
      <c r="U28" s="2">
        <v>2</v>
      </c>
      <c r="V28" s="2" t="s">
        <v>20</v>
      </c>
      <c r="W28" s="2"/>
    </row>
    <row r="29" spans="1:23" x14ac:dyDescent="0.25">
      <c r="A29" s="1"/>
      <c r="B29" s="2"/>
      <c r="C29" s="2"/>
      <c r="D29" s="2"/>
      <c r="E29" s="2"/>
      <c r="F29" s="2"/>
      <c r="G29" s="2" t="s">
        <v>17</v>
      </c>
      <c r="H29" s="2">
        <v>65</v>
      </c>
      <c r="I29" s="2">
        <v>84</v>
      </c>
      <c r="J29" s="2">
        <v>93</v>
      </c>
      <c r="K29" s="2">
        <v>89</v>
      </c>
      <c r="L29" s="2">
        <v>99</v>
      </c>
      <c r="M29" s="2">
        <v>99</v>
      </c>
      <c r="N29" s="2">
        <v>98</v>
      </c>
      <c r="O29" s="2">
        <v>97</v>
      </c>
      <c r="P29" s="2">
        <v>100</v>
      </c>
      <c r="Q29" s="2"/>
      <c r="R29" s="2" t="s">
        <v>19</v>
      </c>
      <c r="S29" s="2">
        <v>824</v>
      </c>
      <c r="T29" s="2">
        <v>91.56</v>
      </c>
      <c r="U29" s="2">
        <v>2</v>
      </c>
      <c r="V29" s="2"/>
      <c r="W29" s="2"/>
    </row>
    <row r="30" spans="1:23" x14ac:dyDescent="0.25">
      <c r="A30" s="1">
        <v>15</v>
      </c>
      <c r="B30" s="2" t="s">
        <v>302</v>
      </c>
      <c r="C30" s="2"/>
      <c r="D30" s="2"/>
      <c r="E30" s="2" t="s">
        <v>666</v>
      </c>
      <c r="F30" s="2"/>
      <c r="G30" s="2" t="s">
        <v>16</v>
      </c>
      <c r="H30" s="2">
        <v>76</v>
      </c>
      <c r="I30" s="2">
        <v>63</v>
      </c>
      <c r="J30" s="2">
        <v>80</v>
      </c>
      <c r="K30" s="2">
        <v>76</v>
      </c>
      <c r="L30" s="2">
        <v>97</v>
      </c>
      <c r="M30" s="2">
        <v>81</v>
      </c>
      <c r="N30" s="2">
        <v>87</v>
      </c>
      <c r="O30" s="2">
        <v>84</v>
      </c>
      <c r="P30" s="2">
        <v>92</v>
      </c>
      <c r="Q30" s="2" t="s">
        <v>21</v>
      </c>
      <c r="R30" s="2" t="s">
        <v>20</v>
      </c>
      <c r="S30" s="2">
        <v>738</v>
      </c>
      <c r="T30" s="2">
        <v>82</v>
      </c>
      <c r="U30" s="2">
        <v>10</v>
      </c>
      <c r="V30" s="2" t="s">
        <v>19</v>
      </c>
      <c r="W30" s="2"/>
    </row>
    <row r="31" spans="1:23" x14ac:dyDescent="0.25">
      <c r="A31" s="1"/>
      <c r="B31" s="2"/>
      <c r="C31" s="2"/>
      <c r="D31" s="2"/>
      <c r="E31" s="2"/>
      <c r="F31" s="2"/>
      <c r="G31" s="2" t="s">
        <v>17</v>
      </c>
      <c r="H31" s="2">
        <v>73</v>
      </c>
      <c r="I31" s="2">
        <v>68</v>
      </c>
      <c r="J31" s="2">
        <v>84</v>
      </c>
      <c r="K31" s="2">
        <v>67</v>
      </c>
      <c r="L31" s="2">
        <v>82</v>
      </c>
      <c r="M31" s="2">
        <v>90</v>
      </c>
      <c r="N31" s="2">
        <v>76</v>
      </c>
      <c r="O31" s="2">
        <v>75</v>
      </c>
      <c r="P31" s="2">
        <v>88</v>
      </c>
      <c r="Q31" s="2"/>
      <c r="R31" s="2" t="s">
        <v>20</v>
      </c>
      <c r="S31" s="2">
        <v>703</v>
      </c>
      <c r="T31" s="2">
        <v>78.11</v>
      </c>
      <c r="U31" s="2">
        <v>11</v>
      </c>
      <c r="V31" s="2" t="s">
        <v>19</v>
      </c>
      <c r="W31" s="2"/>
    </row>
    <row r="32" spans="1:23" x14ac:dyDescent="0.25">
      <c r="A32" s="1">
        <v>16</v>
      </c>
      <c r="B32" s="2" t="s">
        <v>303</v>
      </c>
      <c r="C32" s="2"/>
      <c r="D32" s="2"/>
      <c r="E32" s="2" t="s">
        <v>667</v>
      </c>
      <c r="F32" s="2"/>
      <c r="G32" s="2" t="s">
        <v>16</v>
      </c>
      <c r="H32" s="2">
        <v>55</v>
      </c>
      <c r="I32" s="2">
        <v>56</v>
      </c>
      <c r="J32" s="2">
        <v>71</v>
      </c>
      <c r="K32" s="2">
        <v>57</v>
      </c>
      <c r="L32" s="2">
        <v>74</v>
      </c>
      <c r="M32" s="2">
        <v>72</v>
      </c>
      <c r="N32" s="2">
        <v>82</v>
      </c>
      <c r="O32" s="2">
        <v>59</v>
      </c>
      <c r="P32" s="2">
        <v>71</v>
      </c>
      <c r="Q32" s="2" t="s">
        <v>21</v>
      </c>
      <c r="R32" s="2" t="s">
        <v>20</v>
      </c>
      <c r="S32" s="2">
        <v>597</v>
      </c>
      <c r="T32" s="2">
        <v>66.33</v>
      </c>
      <c r="U32" s="2">
        <v>17</v>
      </c>
      <c r="V32" s="2" t="s">
        <v>19</v>
      </c>
      <c r="W32" s="2"/>
    </row>
    <row r="33" spans="1:23" x14ac:dyDescent="0.25">
      <c r="A33" s="1"/>
      <c r="B33" s="2"/>
      <c r="C33" s="2"/>
      <c r="D33" s="2"/>
      <c r="E33" s="2"/>
      <c r="F33" s="2"/>
      <c r="G33" s="2" t="s">
        <v>17</v>
      </c>
      <c r="H33" s="2">
        <v>50</v>
      </c>
      <c r="I33" s="2">
        <v>63</v>
      </c>
      <c r="J33" s="2">
        <v>88</v>
      </c>
      <c r="K33" s="2">
        <v>45</v>
      </c>
      <c r="L33" s="2">
        <v>71</v>
      </c>
      <c r="M33" s="2">
        <v>70</v>
      </c>
      <c r="N33" s="2">
        <v>79</v>
      </c>
      <c r="O33" s="2">
        <v>61</v>
      </c>
      <c r="P33" s="2">
        <v>94</v>
      </c>
      <c r="Q33" s="2"/>
      <c r="R33" s="2" t="s">
        <v>20</v>
      </c>
      <c r="S33" s="2">
        <v>621</v>
      </c>
      <c r="T33" s="2">
        <v>69</v>
      </c>
      <c r="U33" s="2">
        <v>16</v>
      </c>
      <c r="V33" s="2" t="s">
        <v>19</v>
      </c>
      <c r="W33" s="2"/>
    </row>
    <row r="34" spans="1:23" x14ac:dyDescent="0.25">
      <c r="A34" s="1">
        <v>17</v>
      </c>
      <c r="B34" s="9" t="s">
        <v>304</v>
      </c>
      <c r="C34" s="9"/>
      <c r="D34" s="2"/>
      <c r="E34" s="2" t="s">
        <v>668</v>
      </c>
      <c r="F34" s="2"/>
      <c r="G34" s="2" t="s">
        <v>16</v>
      </c>
      <c r="H34" s="2">
        <v>96</v>
      </c>
      <c r="I34" s="2">
        <v>79</v>
      </c>
      <c r="J34" s="2">
        <v>95</v>
      </c>
      <c r="K34" s="2">
        <v>88</v>
      </c>
      <c r="L34" s="2">
        <v>100</v>
      </c>
      <c r="M34" s="2">
        <v>93</v>
      </c>
      <c r="N34" s="2">
        <v>100</v>
      </c>
      <c r="O34" s="2">
        <v>89</v>
      </c>
      <c r="P34" s="2">
        <v>99</v>
      </c>
      <c r="Q34" s="2" t="s">
        <v>23</v>
      </c>
      <c r="R34" s="2" t="s">
        <v>20</v>
      </c>
      <c r="S34" s="2">
        <v>839</v>
      </c>
      <c r="T34" s="2">
        <v>93.22</v>
      </c>
      <c r="U34" s="2">
        <v>3</v>
      </c>
      <c r="V34" s="2" t="s">
        <v>19</v>
      </c>
      <c r="W34" s="2"/>
    </row>
    <row r="35" spans="1:23" x14ac:dyDescent="0.25">
      <c r="A35" s="1"/>
      <c r="B35" s="2"/>
      <c r="C35" s="2"/>
      <c r="D35" s="2"/>
      <c r="E35" s="2"/>
      <c r="F35" s="2"/>
      <c r="G35" s="2" t="s">
        <v>17</v>
      </c>
      <c r="H35" s="2">
        <v>85</v>
      </c>
      <c r="I35" s="2">
        <v>82</v>
      </c>
      <c r="J35" s="2">
        <v>91</v>
      </c>
      <c r="K35" s="2">
        <v>82</v>
      </c>
      <c r="L35" s="2">
        <v>87</v>
      </c>
      <c r="M35" s="2">
        <v>92</v>
      </c>
      <c r="N35" s="2">
        <v>99</v>
      </c>
      <c r="O35" s="2">
        <v>96</v>
      </c>
      <c r="P35" s="2">
        <v>96</v>
      </c>
      <c r="Q35" s="2"/>
      <c r="R35" s="2" t="s">
        <v>20</v>
      </c>
      <c r="S35" s="2">
        <v>810</v>
      </c>
      <c r="T35" s="2">
        <v>90</v>
      </c>
      <c r="U35" s="2">
        <v>3</v>
      </c>
      <c r="V35" s="2"/>
      <c r="W35" s="2"/>
    </row>
    <row r="36" spans="1:23" x14ac:dyDescent="0.25">
      <c r="A36" s="1">
        <v>18</v>
      </c>
      <c r="B36" s="2" t="s">
        <v>305</v>
      </c>
      <c r="C36" s="2"/>
      <c r="D36" s="2" t="s">
        <v>42</v>
      </c>
      <c r="E36" s="12" t="s">
        <v>732</v>
      </c>
      <c r="F36" s="2"/>
      <c r="G36" s="2" t="s">
        <v>16</v>
      </c>
      <c r="H36" s="2"/>
      <c r="I36" s="2">
        <v>70</v>
      </c>
      <c r="J36" s="2">
        <v>58</v>
      </c>
      <c r="K36" s="2">
        <v>27</v>
      </c>
      <c r="L36" s="2">
        <v>60</v>
      </c>
      <c r="M36" s="2"/>
      <c r="N36" s="2"/>
      <c r="O36" s="2">
        <v>21</v>
      </c>
      <c r="P36" s="2"/>
      <c r="Q36" s="2"/>
      <c r="R36" s="2" t="s">
        <v>19</v>
      </c>
      <c r="S36" s="2"/>
      <c r="T36" s="2"/>
      <c r="U36" s="2"/>
      <c r="V36" s="2" t="s">
        <v>20</v>
      </c>
      <c r="W36" s="2"/>
    </row>
    <row r="37" spans="1:23" x14ac:dyDescent="0.25">
      <c r="A37" s="1"/>
      <c r="B37" s="2"/>
      <c r="C37" s="2"/>
      <c r="D37" s="2"/>
      <c r="E37" s="2"/>
      <c r="F37" s="2"/>
      <c r="G37" s="2" t="s">
        <v>17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X41"/>
  <sheetViews>
    <sheetView tabSelected="1" topLeftCell="F1" zoomScale="77" zoomScaleNormal="77" zoomScalePageLayoutView="77" workbookViewId="0">
      <selection activeCell="V1" sqref="V1"/>
    </sheetView>
  </sheetViews>
  <sheetFormatPr defaultColWidth="11.125" defaultRowHeight="15.75" x14ac:dyDescent="0.25"/>
  <cols>
    <col min="1" max="1" width="7.5" customWidth="1"/>
    <col min="2" max="2" width="25.625" customWidth="1"/>
    <col min="3" max="3" width="9.5" bestFit="1" customWidth="1"/>
    <col min="4" max="4" width="8.5" customWidth="1"/>
    <col min="5" max="5" width="10.375" bestFit="1" customWidth="1"/>
    <col min="6" max="6" width="8.5" customWidth="1"/>
  </cols>
  <sheetData>
    <row r="1" spans="1:24" ht="91.5" x14ac:dyDescent="0.25">
      <c r="A1" s="5" t="s">
        <v>0</v>
      </c>
      <c r="B1" s="6" t="s">
        <v>382</v>
      </c>
      <c r="C1" s="6" t="s">
        <v>3</v>
      </c>
      <c r="D1" s="6" t="s">
        <v>2</v>
      </c>
      <c r="E1" s="6" t="s">
        <v>383</v>
      </c>
      <c r="F1" s="6" t="s">
        <v>384</v>
      </c>
      <c r="G1" s="6" t="s">
        <v>385</v>
      </c>
      <c r="H1" s="6" t="s">
        <v>5</v>
      </c>
      <c r="I1" s="6" t="s">
        <v>6</v>
      </c>
      <c r="J1" s="6" t="s">
        <v>7</v>
      </c>
      <c r="K1" s="6" t="s">
        <v>228</v>
      </c>
      <c r="L1" s="6" t="s">
        <v>229</v>
      </c>
      <c r="M1" s="6" t="s">
        <v>230</v>
      </c>
      <c r="N1" s="6" t="s">
        <v>306</v>
      </c>
      <c r="O1" s="6" t="s">
        <v>307</v>
      </c>
      <c r="P1" s="6" t="s">
        <v>167</v>
      </c>
      <c r="Q1" s="6" t="s">
        <v>9</v>
      </c>
      <c r="R1" s="6" t="s">
        <v>737</v>
      </c>
      <c r="S1" s="6" t="s">
        <v>10</v>
      </c>
      <c r="T1" s="6" t="s">
        <v>11</v>
      </c>
      <c r="U1" s="6" t="s">
        <v>12</v>
      </c>
      <c r="V1" s="6" t="s">
        <v>13</v>
      </c>
      <c r="W1" s="6" t="s">
        <v>14</v>
      </c>
      <c r="X1" s="7"/>
    </row>
    <row r="2" spans="1:24" x14ac:dyDescent="0.25">
      <c r="A2" s="1">
        <v>1</v>
      </c>
      <c r="B2" s="2" t="s">
        <v>308</v>
      </c>
      <c r="C2" s="2"/>
      <c r="D2" s="2"/>
      <c r="E2" s="2" t="s">
        <v>669</v>
      </c>
      <c r="F2" s="2"/>
      <c r="G2" s="2" t="s">
        <v>16</v>
      </c>
      <c r="H2" s="2">
        <v>96</v>
      </c>
      <c r="I2" s="2">
        <v>78</v>
      </c>
      <c r="J2" s="2">
        <v>73</v>
      </c>
      <c r="K2" s="2">
        <v>84</v>
      </c>
      <c r="L2" s="2">
        <v>84</v>
      </c>
      <c r="M2" s="2">
        <v>98</v>
      </c>
      <c r="N2" s="2">
        <v>83</v>
      </c>
      <c r="O2" s="2">
        <v>60</v>
      </c>
      <c r="P2" s="2">
        <v>87</v>
      </c>
      <c r="Q2" s="2"/>
      <c r="R2" s="2"/>
      <c r="S2" s="2">
        <v>743</v>
      </c>
      <c r="T2" s="2">
        <v>82.55</v>
      </c>
      <c r="U2" s="2">
        <v>6</v>
      </c>
      <c r="V2" s="2" t="s">
        <v>20</v>
      </c>
      <c r="W2" s="2"/>
    </row>
    <row r="3" spans="1:24" x14ac:dyDescent="0.25">
      <c r="A3" s="1"/>
      <c r="B3" s="2"/>
      <c r="C3" s="2"/>
      <c r="D3" s="2"/>
      <c r="E3" s="2"/>
      <c r="F3" s="2"/>
      <c r="G3" s="2" t="s">
        <v>17</v>
      </c>
      <c r="H3" s="2">
        <v>93</v>
      </c>
      <c r="I3" s="2">
        <v>69</v>
      </c>
      <c r="J3" s="2">
        <v>73</v>
      </c>
      <c r="K3" s="2">
        <v>62</v>
      </c>
      <c r="L3" s="2">
        <v>93</v>
      </c>
      <c r="M3" s="2">
        <v>99</v>
      </c>
      <c r="N3" s="2">
        <v>77</v>
      </c>
      <c r="O3" s="2">
        <v>84</v>
      </c>
      <c r="P3" s="2">
        <v>85</v>
      </c>
      <c r="Q3" s="2"/>
      <c r="R3" s="2"/>
      <c r="S3" s="2">
        <v>735</v>
      </c>
      <c r="T3" s="2">
        <v>81.650000000000006</v>
      </c>
      <c r="U3" s="2">
        <v>5</v>
      </c>
      <c r="V3" s="2" t="s">
        <v>20</v>
      </c>
      <c r="W3" s="2"/>
    </row>
    <row r="4" spans="1:24" x14ac:dyDescent="0.25">
      <c r="A4" s="1">
        <v>2</v>
      </c>
      <c r="B4" s="49" t="s">
        <v>309</v>
      </c>
      <c r="C4" s="49"/>
      <c r="D4" s="2"/>
      <c r="E4" s="2" t="s">
        <v>670</v>
      </c>
      <c r="F4" s="2"/>
      <c r="G4" s="2" t="s">
        <v>16</v>
      </c>
      <c r="H4" s="2">
        <v>86</v>
      </c>
      <c r="I4" s="2">
        <v>75</v>
      </c>
      <c r="J4" s="2">
        <v>67</v>
      </c>
      <c r="K4" s="2">
        <v>76</v>
      </c>
      <c r="L4" s="2">
        <v>93</v>
      </c>
      <c r="M4" s="2">
        <v>94</v>
      </c>
      <c r="N4" s="2">
        <v>83</v>
      </c>
      <c r="O4" s="2">
        <v>65</v>
      </c>
      <c r="P4" s="2">
        <v>94</v>
      </c>
      <c r="Q4" s="2"/>
      <c r="R4" s="2"/>
      <c r="S4" s="2">
        <v>733</v>
      </c>
      <c r="T4" s="2">
        <v>81.44</v>
      </c>
      <c r="U4" s="2">
        <v>7</v>
      </c>
      <c r="V4" s="2" t="s">
        <v>20</v>
      </c>
      <c r="W4" s="2"/>
    </row>
    <row r="5" spans="1:24" x14ac:dyDescent="0.25">
      <c r="A5" s="1"/>
      <c r="B5" s="2"/>
      <c r="C5" s="2"/>
      <c r="D5" s="2"/>
      <c r="E5" s="2"/>
      <c r="F5" s="2"/>
      <c r="G5" s="2" t="s">
        <v>17</v>
      </c>
      <c r="H5" s="2">
        <v>72</v>
      </c>
      <c r="I5" s="2">
        <v>66</v>
      </c>
      <c r="J5" s="2">
        <v>67</v>
      </c>
      <c r="K5" s="2">
        <v>69</v>
      </c>
      <c r="L5" s="2">
        <v>90.5</v>
      </c>
      <c r="M5" s="2">
        <v>83</v>
      </c>
      <c r="N5" s="2">
        <v>72</v>
      </c>
      <c r="O5" s="2">
        <v>62</v>
      </c>
      <c r="P5" s="2">
        <v>80</v>
      </c>
      <c r="Q5" s="2"/>
      <c r="R5" s="2" t="s">
        <v>19</v>
      </c>
      <c r="S5" s="2">
        <v>661.5</v>
      </c>
      <c r="T5" s="2">
        <v>73.5</v>
      </c>
      <c r="U5" s="2">
        <v>8</v>
      </c>
      <c r="V5" s="2" t="s">
        <v>20</v>
      </c>
      <c r="W5" s="2"/>
    </row>
    <row r="6" spans="1:24" x14ac:dyDescent="0.25">
      <c r="A6" s="1">
        <v>3</v>
      </c>
      <c r="B6" s="2" t="s">
        <v>310</v>
      </c>
      <c r="C6" s="2"/>
      <c r="D6" s="2"/>
      <c r="E6" s="2" t="s">
        <v>671</v>
      </c>
      <c r="F6" s="2"/>
      <c r="G6" s="2" t="s">
        <v>16</v>
      </c>
      <c r="H6" s="2">
        <v>78</v>
      </c>
      <c r="I6" s="2">
        <v>73</v>
      </c>
      <c r="J6" s="2">
        <v>63</v>
      </c>
      <c r="K6" s="2">
        <v>73</v>
      </c>
      <c r="L6" s="2">
        <v>79</v>
      </c>
      <c r="M6" s="2">
        <v>88</v>
      </c>
      <c r="N6" s="2">
        <v>82</v>
      </c>
      <c r="O6" s="2">
        <v>71</v>
      </c>
      <c r="P6" s="2">
        <v>98</v>
      </c>
      <c r="Q6" s="2"/>
      <c r="R6" s="2"/>
      <c r="S6" s="2">
        <v>705</v>
      </c>
      <c r="T6" s="2">
        <v>78.33</v>
      </c>
      <c r="U6" s="2">
        <v>12</v>
      </c>
      <c r="V6" s="2" t="s">
        <v>20</v>
      </c>
      <c r="W6" s="2"/>
    </row>
    <row r="7" spans="1:24" x14ac:dyDescent="0.25">
      <c r="A7" s="1"/>
      <c r="B7" s="2"/>
      <c r="C7" s="2"/>
      <c r="D7" s="2"/>
      <c r="E7" s="2"/>
      <c r="F7" s="2"/>
      <c r="G7" s="2" t="s">
        <v>17</v>
      </c>
      <c r="H7" s="2">
        <v>87</v>
      </c>
      <c r="I7" s="2">
        <v>72</v>
      </c>
      <c r="J7" s="2">
        <v>77</v>
      </c>
      <c r="K7" s="2">
        <v>58</v>
      </c>
      <c r="L7" s="2">
        <v>86</v>
      </c>
      <c r="M7" s="2">
        <v>95</v>
      </c>
      <c r="N7" s="2">
        <v>77</v>
      </c>
      <c r="O7" s="2">
        <v>78</v>
      </c>
      <c r="P7" s="2">
        <v>90</v>
      </c>
      <c r="Q7" s="2"/>
      <c r="R7" s="2" t="s">
        <v>20</v>
      </c>
      <c r="S7" s="2">
        <v>720</v>
      </c>
      <c r="T7" s="2">
        <v>80</v>
      </c>
      <c r="U7" s="2">
        <v>6</v>
      </c>
      <c r="V7" s="2" t="s">
        <v>20</v>
      </c>
      <c r="W7" s="2"/>
    </row>
    <row r="8" spans="1:24" x14ac:dyDescent="0.25">
      <c r="A8" s="1">
        <v>4</v>
      </c>
      <c r="B8" s="2" t="s">
        <v>311</v>
      </c>
      <c r="C8" s="2"/>
      <c r="D8" s="2"/>
      <c r="E8" s="2" t="s">
        <v>672</v>
      </c>
      <c r="F8" s="2"/>
      <c r="G8" s="2" t="s">
        <v>16</v>
      </c>
      <c r="H8" s="2">
        <v>87</v>
      </c>
      <c r="I8" s="2">
        <v>63</v>
      </c>
      <c r="J8" s="2">
        <v>75</v>
      </c>
      <c r="K8" s="2">
        <v>78</v>
      </c>
      <c r="L8" s="2">
        <v>79</v>
      </c>
      <c r="M8" s="2">
        <v>79</v>
      </c>
      <c r="N8" s="2">
        <v>71</v>
      </c>
      <c r="O8" s="2">
        <v>59</v>
      </c>
      <c r="P8" s="2">
        <v>86</v>
      </c>
      <c r="Q8" s="2"/>
      <c r="R8" s="2"/>
      <c r="S8" s="2">
        <v>677</v>
      </c>
      <c r="T8" s="2">
        <v>75.2</v>
      </c>
      <c r="U8" s="2">
        <v>13</v>
      </c>
      <c r="V8" s="2" t="s">
        <v>107</v>
      </c>
      <c r="W8" s="2"/>
    </row>
    <row r="9" spans="1:24" x14ac:dyDescent="0.25">
      <c r="A9" s="1"/>
      <c r="B9" s="2"/>
      <c r="C9" s="2"/>
      <c r="D9" s="2"/>
      <c r="E9" s="2"/>
      <c r="F9" s="2"/>
      <c r="G9" s="2" t="s">
        <v>17</v>
      </c>
      <c r="H9" s="2">
        <v>66</v>
      </c>
      <c r="I9" s="2">
        <v>58</v>
      </c>
      <c r="J9" s="2">
        <v>83</v>
      </c>
      <c r="K9" s="2">
        <v>61</v>
      </c>
      <c r="L9" s="2">
        <v>75.5</v>
      </c>
      <c r="M9" s="2">
        <v>86</v>
      </c>
      <c r="N9" s="2">
        <v>83</v>
      </c>
      <c r="O9" s="2">
        <v>61</v>
      </c>
      <c r="P9" s="2">
        <v>80</v>
      </c>
      <c r="Q9" s="2"/>
      <c r="R9" s="2" t="s">
        <v>20</v>
      </c>
      <c r="S9" s="2">
        <v>653.5</v>
      </c>
      <c r="T9" s="2">
        <v>72.61</v>
      </c>
      <c r="U9" s="2">
        <v>11</v>
      </c>
      <c r="V9" s="2" t="s">
        <v>20</v>
      </c>
      <c r="W9" s="2"/>
    </row>
    <row r="10" spans="1:24" x14ac:dyDescent="0.25">
      <c r="A10" s="1">
        <v>5</v>
      </c>
      <c r="B10" s="2" t="s">
        <v>312</v>
      </c>
      <c r="C10" s="2"/>
      <c r="D10" s="2"/>
      <c r="E10" s="2" t="s">
        <v>673</v>
      </c>
      <c r="F10" s="2"/>
      <c r="G10" s="2" t="s">
        <v>16</v>
      </c>
      <c r="H10" s="2">
        <v>72</v>
      </c>
      <c r="I10" s="2">
        <v>76</v>
      </c>
      <c r="J10" s="2">
        <v>70</v>
      </c>
      <c r="K10" s="2">
        <v>75</v>
      </c>
      <c r="L10" s="2">
        <v>86</v>
      </c>
      <c r="M10" s="2">
        <v>89</v>
      </c>
      <c r="N10" s="2">
        <v>86</v>
      </c>
      <c r="O10" s="2">
        <v>67</v>
      </c>
      <c r="P10" s="2">
        <v>87</v>
      </c>
      <c r="Q10" s="2"/>
      <c r="R10" s="2"/>
      <c r="S10" s="2">
        <v>708</v>
      </c>
      <c r="T10" s="2">
        <v>78.66</v>
      </c>
      <c r="U10" s="2">
        <v>11</v>
      </c>
      <c r="V10" s="2" t="s">
        <v>20</v>
      </c>
      <c r="W10" s="2"/>
    </row>
    <row r="11" spans="1:24" x14ac:dyDescent="0.25">
      <c r="A11" s="1"/>
      <c r="B11" s="2"/>
      <c r="C11" s="2"/>
      <c r="D11" s="2"/>
      <c r="E11" s="2"/>
      <c r="F11" s="2"/>
      <c r="G11" s="2" t="s">
        <v>17</v>
      </c>
      <c r="H11" s="2">
        <v>79</v>
      </c>
      <c r="I11" s="2">
        <v>72</v>
      </c>
      <c r="J11" s="2">
        <v>61</v>
      </c>
      <c r="K11" s="2">
        <v>62</v>
      </c>
      <c r="L11" s="2">
        <v>74</v>
      </c>
      <c r="M11" s="2">
        <v>89</v>
      </c>
      <c r="N11" s="2">
        <v>64</v>
      </c>
      <c r="O11" s="2">
        <v>70</v>
      </c>
      <c r="P11" s="2">
        <v>87</v>
      </c>
      <c r="Q11" s="2"/>
      <c r="R11" s="2"/>
      <c r="S11" s="2">
        <v>658</v>
      </c>
      <c r="T11" s="2">
        <v>73.099999999999994</v>
      </c>
      <c r="U11" s="2">
        <v>9</v>
      </c>
      <c r="V11" s="2" t="s">
        <v>20</v>
      </c>
      <c r="W11" s="2"/>
    </row>
    <row r="12" spans="1:24" x14ac:dyDescent="0.25">
      <c r="A12" s="1">
        <v>6</v>
      </c>
      <c r="B12" s="9" t="s">
        <v>313</v>
      </c>
      <c r="C12" s="9"/>
      <c r="D12" s="2"/>
      <c r="E12" s="2" t="s">
        <v>674</v>
      </c>
      <c r="F12" s="2"/>
      <c r="G12" s="2" t="s">
        <v>16</v>
      </c>
      <c r="H12" s="2">
        <v>88</v>
      </c>
      <c r="I12" s="2">
        <v>79</v>
      </c>
      <c r="J12" s="2">
        <v>62</v>
      </c>
      <c r="K12" s="2">
        <v>83</v>
      </c>
      <c r="L12" s="2">
        <v>94</v>
      </c>
      <c r="M12" s="2">
        <v>93</v>
      </c>
      <c r="N12" s="2">
        <v>80</v>
      </c>
      <c r="O12" s="2">
        <v>57</v>
      </c>
      <c r="P12" s="2">
        <v>86</v>
      </c>
      <c r="Q12" s="2"/>
      <c r="R12" s="2"/>
      <c r="S12" s="2">
        <v>722</v>
      </c>
      <c r="T12" s="2">
        <v>80.2</v>
      </c>
      <c r="U12" s="2">
        <v>9</v>
      </c>
      <c r="V12" s="2" t="s">
        <v>20</v>
      </c>
      <c r="W12" s="2"/>
    </row>
    <row r="13" spans="1:24" x14ac:dyDescent="0.25">
      <c r="A13" s="1"/>
      <c r="B13" s="2"/>
      <c r="C13" s="2"/>
      <c r="D13" s="2"/>
      <c r="E13" s="2"/>
      <c r="F13" s="2"/>
      <c r="G13" s="2" t="s">
        <v>17</v>
      </c>
      <c r="H13" s="2">
        <v>76</v>
      </c>
      <c r="I13" s="2">
        <v>68</v>
      </c>
      <c r="J13" s="2">
        <v>59</v>
      </c>
      <c r="K13" s="2">
        <v>60</v>
      </c>
      <c r="L13" s="2">
        <v>80</v>
      </c>
      <c r="M13" s="2">
        <v>92</v>
      </c>
      <c r="N13" s="2">
        <v>66</v>
      </c>
      <c r="O13" s="2">
        <v>60</v>
      </c>
      <c r="P13" s="2">
        <v>89</v>
      </c>
      <c r="Q13" s="2"/>
      <c r="R13" s="2"/>
      <c r="S13" s="2">
        <v>650</v>
      </c>
      <c r="T13" s="2">
        <v>72.22</v>
      </c>
      <c r="U13" s="2">
        <v>12</v>
      </c>
      <c r="V13" s="2" t="s">
        <v>20</v>
      </c>
      <c r="W13" s="2"/>
    </row>
    <row r="14" spans="1:24" x14ac:dyDescent="0.25">
      <c r="A14" s="1">
        <v>7</v>
      </c>
      <c r="B14" s="2" t="s">
        <v>314</v>
      </c>
      <c r="C14" s="2"/>
      <c r="D14" s="2"/>
      <c r="E14" s="2" t="s">
        <v>675</v>
      </c>
      <c r="F14" s="2"/>
      <c r="G14" s="2" t="s">
        <v>16</v>
      </c>
      <c r="H14" s="2">
        <v>81</v>
      </c>
      <c r="I14" s="2">
        <v>64</v>
      </c>
      <c r="J14" s="2">
        <v>51</v>
      </c>
      <c r="K14" s="2">
        <v>59</v>
      </c>
      <c r="L14" s="2">
        <v>80</v>
      </c>
      <c r="M14" s="2">
        <v>69</v>
      </c>
      <c r="N14" s="2">
        <v>62</v>
      </c>
      <c r="O14" s="2">
        <v>55</v>
      </c>
      <c r="P14" s="2">
        <v>79</v>
      </c>
      <c r="Q14" s="2"/>
      <c r="R14" s="2"/>
      <c r="S14" s="10">
        <v>600</v>
      </c>
      <c r="T14" s="11">
        <v>66.599999999999994</v>
      </c>
      <c r="U14" s="11">
        <v>15</v>
      </c>
      <c r="V14" s="2" t="s">
        <v>20</v>
      </c>
      <c r="W14" s="2"/>
    </row>
    <row r="15" spans="1:24" x14ac:dyDescent="0.25">
      <c r="A15" s="1"/>
      <c r="B15" s="2"/>
      <c r="C15" s="2"/>
      <c r="D15" s="2"/>
      <c r="E15" s="2"/>
      <c r="F15" s="2"/>
      <c r="G15" s="2" t="s">
        <v>17</v>
      </c>
      <c r="H15" s="2">
        <v>61</v>
      </c>
      <c r="I15" s="2">
        <v>52</v>
      </c>
      <c r="J15" s="2">
        <v>70</v>
      </c>
      <c r="K15" s="2">
        <v>34</v>
      </c>
      <c r="L15" s="2">
        <v>75.5</v>
      </c>
      <c r="M15" s="2">
        <v>84</v>
      </c>
      <c r="N15" s="2">
        <v>63</v>
      </c>
      <c r="O15" s="2">
        <v>60</v>
      </c>
      <c r="P15" s="2">
        <v>80</v>
      </c>
      <c r="Q15" s="2"/>
      <c r="R15" s="2"/>
      <c r="S15" s="2">
        <v>579.5</v>
      </c>
      <c r="T15" s="2">
        <v>64.38</v>
      </c>
      <c r="U15" s="2">
        <v>16</v>
      </c>
      <c r="V15" s="2" t="s">
        <v>20</v>
      </c>
      <c r="W15" s="2"/>
    </row>
    <row r="16" spans="1:24" x14ac:dyDescent="0.25">
      <c r="A16" s="1">
        <v>8</v>
      </c>
      <c r="B16" s="9" t="s">
        <v>315</v>
      </c>
      <c r="C16" s="9"/>
      <c r="D16" s="2"/>
      <c r="E16" s="2" t="s">
        <v>676</v>
      </c>
      <c r="F16" s="2"/>
      <c r="G16" s="2" t="s">
        <v>16</v>
      </c>
      <c r="H16" s="2">
        <v>42</v>
      </c>
      <c r="I16" s="2">
        <v>47</v>
      </c>
      <c r="J16" s="2">
        <v>43</v>
      </c>
      <c r="K16" s="2">
        <v>44</v>
      </c>
      <c r="L16" s="2">
        <v>60</v>
      </c>
      <c r="M16" s="2">
        <v>36</v>
      </c>
      <c r="N16" s="2">
        <v>65</v>
      </c>
      <c r="O16" s="2">
        <v>45</v>
      </c>
      <c r="P16" s="2">
        <v>48</v>
      </c>
      <c r="Q16" s="2"/>
      <c r="R16" s="2"/>
      <c r="S16" s="2">
        <v>430</v>
      </c>
      <c r="T16" s="2">
        <v>47.77</v>
      </c>
      <c r="U16" s="2">
        <v>19</v>
      </c>
      <c r="V16" s="2" t="s">
        <v>20</v>
      </c>
      <c r="W16" s="2"/>
    </row>
    <row r="17" spans="1:23" x14ac:dyDescent="0.25">
      <c r="A17" s="1"/>
      <c r="B17" s="2"/>
      <c r="C17" s="2"/>
      <c r="D17" s="2"/>
      <c r="E17" s="2"/>
      <c r="F17" s="2"/>
      <c r="G17" s="2" t="s">
        <v>17</v>
      </c>
      <c r="H17" s="2">
        <v>90</v>
      </c>
      <c r="I17" s="2">
        <v>56</v>
      </c>
      <c r="J17" s="2">
        <v>71</v>
      </c>
      <c r="K17" s="2">
        <v>52</v>
      </c>
      <c r="L17" s="2">
        <v>63</v>
      </c>
      <c r="M17" s="2">
        <v>57</v>
      </c>
      <c r="N17" s="2">
        <v>48</v>
      </c>
      <c r="O17" s="2">
        <v>64</v>
      </c>
      <c r="P17" s="2">
        <v>87</v>
      </c>
      <c r="Q17" s="2"/>
      <c r="R17" s="2"/>
      <c r="S17" s="2">
        <v>588</v>
      </c>
      <c r="T17" s="2">
        <v>65.33</v>
      </c>
      <c r="U17" s="2">
        <v>15</v>
      </c>
      <c r="V17" s="2" t="s">
        <v>20</v>
      </c>
      <c r="W17" s="2"/>
    </row>
    <row r="18" spans="1:23" x14ac:dyDescent="0.25">
      <c r="A18" s="1">
        <v>9</v>
      </c>
      <c r="B18" s="2" t="s">
        <v>316</v>
      </c>
      <c r="C18" s="2"/>
      <c r="D18" s="2" t="s">
        <v>43</v>
      </c>
      <c r="E18" s="12" t="s">
        <v>733</v>
      </c>
      <c r="F18" s="2"/>
      <c r="G18" s="2" t="s">
        <v>16</v>
      </c>
      <c r="H18" s="2">
        <v>32</v>
      </c>
      <c r="I18" s="2">
        <v>53</v>
      </c>
      <c r="J18" s="2">
        <v>38</v>
      </c>
      <c r="K18" s="2">
        <v>65</v>
      </c>
      <c r="L18" s="2">
        <v>60</v>
      </c>
      <c r="M18" s="2">
        <v>40</v>
      </c>
      <c r="N18" s="2">
        <v>48</v>
      </c>
      <c r="O18" s="2">
        <v>28</v>
      </c>
      <c r="P18" s="2">
        <v>40</v>
      </c>
      <c r="Q18" s="2"/>
      <c r="R18" s="2"/>
      <c r="S18" s="2">
        <v>404</v>
      </c>
      <c r="T18" s="2">
        <v>44.88</v>
      </c>
      <c r="U18" s="2">
        <v>20</v>
      </c>
      <c r="V18" s="2" t="s">
        <v>20</v>
      </c>
      <c r="W18" s="2"/>
    </row>
    <row r="19" spans="1:23" x14ac:dyDescent="0.25">
      <c r="A19" s="1"/>
      <c r="B19" s="2"/>
      <c r="C19" s="2"/>
      <c r="D19" s="2"/>
      <c r="E19" s="2"/>
      <c r="F19" s="2"/>
      <c r="G19" s="2" t="s">
        <v>17</v>
      </c>
      <c r="H19" s="2">
        <v>54</v>
      </c>
      <c r="I19" s="2">
        <v>50</v>
      </c>
      <c r="J19" s="2">
        <v>62</v>
      </c>
      <c r="K19" s="2">
        <v>23</v>
      </c>
      <c r="L19" s="2">
        <v>57.5</v>
      </c>
      <c r="M19" s="2">
        <v>64</v>
      </c>
      <c r="N19" s="2">
        <v>60</v>
      </c>
      <c r="O19" s="2">
        <v>60</v>
      </c>
      <c r="P19" s="2">
        <v>78</v>
      </c>
      <c r="Q19" s="2"/>
      <c r="R19" s="2" t="s">
        <v>19</v>
      </c>
      <c r="S19" s="2">
        <v>508.5</v>
      </c>
      <c r="T19" s="2">
        <v>56.5</v>
      </c>
      <c r="U19" s="2">
        <v>19</v>
      </c>
      <c r="V19" s="2" t="s">
        <v>20</v>
      </c>
      <c r="W19" s="2"/>
    </row>
    <row r="20" spans="1:23" x14ac:dyDescent="0.25">
      <c r="A20" s="1">
        <v>10</v>
      </c>
      <c r="B20" s="2" t="s">
        <v>317</v>
      </c>
      <c r="C20" s="2"/>
      <c r="D20" s="2"/>
      <c r="E20" s="2" t="s">
        <v>677</v>
      </c>
      <c r="F20" s="2"/>
      <c r="G20" s="2" t="s">
        <v>16</v>
      </c>
      <c r="H20" s="2">
        <v>93</v>
      </c>
      <c r="I20" s="2">
        <v>66</v>
      </c>
      <c r="J20" s="2">
        <v>72</v>
      </c>
      <c r="K20" s="2">
        <v>82</v>
      </c>
      <c r="L20" s="2">
        <v>82</v>
      </c>
      <c r="M20" s="2">
        <v>84</v>
      </c>
      <c r="N20" s="2">
        <v>79</v>
      </c>
      <c r="O20" s="2">
        <v>66</v>
      </c>
      <c r="P20" s="2">
        <v>90</v>
      </c>
      <c r="Q20" s="2"/>
      <c r="R20" s="2"/>
      <c r="S20" s="2">
        <v>714</v>
      </c>
      <c r="T20" s="2">
        <v>79.33</v>
      </c>
      <c r="U20" s="2">
        <v>10</v>
      </c>
      <c r="V20" s="2" t="s">
        <v>20</v>
      </c>
      <c r="W20" s="2"/>
    </row>
    <row r="21" spans="1:23" x14ac:dyDescent="0.25">
      <c r="A21" s="1"/>
      <c r="B21" s="2"/>
      <c r="C21" s="2"/>
      <c r="D21" s="2"/>
      <c r="E21" s="2"/>
      <c r="F21" s="2"/>
      <c r="G21" s="2" t="s">
        <v>17</v>
      </c>
      <c r="H21" s="2">
        <v>92</v>
      </c>
      <c r="I21" s="2">
        <v>60</v>
      </c>
      <c r="J21" s="2">
        <v>83</v>
      </c>
      <c r="K21" s="2">
        <v>54</v>
      </c>
      <c r="L21" s="2">
        <v>83</v>
      </c>
      <c r="M21" s="2">
        <v>89</v>
      </c>
      <c r="N21" s="2">
        <v>78</v>
      </c>
      <c r="O21" s="2">
        <v>79</v>
      </c>
      <c r="P21" s="2">
        <v>92</v>
      </c>
      <c r="Q21" s="2"/>
      <c r="R21" s="2"/>
      <c r="S21" s="2">
        <v>710</v>
      </c>
      <c r="T21" s="2">
        <v>78.88</v>
      </c>
      <c r="U21" s="2">
        <v>7</v>
      </c>
      <c r="V21" s="2" t="s">
        <v>20</v>
      </c>
      <c r="W21" s="2"/>
    </row>
    <row r="22" spans="1:23" x14ac:dyDescent="0.25">
      <c r="A22" s="1">
        <v>11</v>
      </c>
      <c r="B22" s="2" t="s">
        <v>318</v>
      </c>
      <c r="C22" s="2"/>
      <c r="D22" s="2"/>
      <c r="E22" s="2" t="s">
        <v>678</v>
      </c>
      <c r="F22" s="2"/>
      <c r="G22" s="2" t="s">
        <v>16</v>
      </c>
      <c r="H22" s="2">
        <v>84</v>
      </c>
      <c r="I22" s="2">
        <v>76</v>
      </c>
      <c r="J22" s="2">
        <v>96</v>
      </c>
      <c r="K22" s="2">
        <v>82</v>
      </c>
      <c r="L22" s="2">
        <v>80</v>
      </c>
      <c r="M22" s="2">
        <v>84</v>
      </c>
      <c r="N22" s="2">
        <v>84</v>
      </c>
      <c r="O22" s="2">
        <v>59</v>
      </c>
      <c r="P22" s="2">
        <v>82</v>
      </c>
      <c r="Q22" s="2"/>
      <c r="R22" s="2"/>
      <c r="S22" s="2">
        <v>727</v>
      </c>
      <c r="T22" s="2">
        <v>80.77</v>
      </c>
      <c r="U22" s="2">
        <v>8</v>
      </c>
      <c r="V22" s="2" t="s">
        <v>20</v>
      </c>
      <c r="W22" s="2"/>
    </row>
    <row r="23" spans="1:23" x14ac:dyDescent="0.25">
      <c r="A23" s="1"/>
      <c r="B23" s="2"/>
      <c r="C23" s="2"/>
      <c r="D23" s="2"/>
      <c r="E23" s="2"/>
      <c r="F23" s="2"/>
      <c r="G23" s="2" t="s">
        <v>17</v>
      </c>
      <c r="H23" s="2">
        <v>72</v>
      </c>
      <c r="I23" s="2">
        <v>68</v>
      </c>
      <c r="J23" s="2">
        <v>79</v>
      </c>
      <c r="K23" s="2">
        <v>54</v>
      </c>
      <c r="L23" s="2">
        <v>93.5</v>
      </c>
      <c r="M23" s="2">
        <v>74</v>
      </c>
      <c r="N23" s="2">
        <v>58</v>
      </c>
      <c r="O23" s="2">
        <v>58</v>
      </c>
      <c r="P23" s="2">
        <v>77</v>
      </c>
      <c r="Q23" s="2"/>
      <c r="R23" s="2" t="s">
        <v>19</v>
      </c>
      <c r="S23" s="2">
        <v>633.5</v>
      </c>
      <c r="T23" s="2">
        <v>70.38</v>
      </c>
      <c r="U23" s="2">
        <v>13</v>
      </c>
      <c r="V23" s="2" t="s">
        <v>20</v>
      </c>
      <c r="W23" s="2"/>
    </row>
    <row r="24" spans="1:23" x14ac:dyDescent="0.25">
      <c r="A24" s="1">
        <v>12</v>
      </c>
      <c r="B24" s="2" t="s">
        <v>319</v>
      </c>
      <c r="C24" s="2"/>
      <c r="D24" s="2" t="s">
        <v>43</v>
      </c>
      <c r="E24" s="12" t="s">
        <v>734</v>
      </c>
      <c r="F24" s="2"/>
      <c r="G24" s="2" t="s">
        <v>16</v>
      </c>
      <c r="H24" s="2">
        <v>89</v>
      </c>
      <c r="I24" s="2">
        <v>71</v>
      </c>
      <c r="J24" s="2">
        <v>90</v>
      </c>
      <c r="K24" s="2">
        <v>87</v>
      </c>
      <c r="L24" s="2">
        <v>91</v>
      </c>
      <c r="M24" s="2">
        <v>83</v>
      </c>
      <c r="N24" s="2">
        <v>79</v>
      </c>
      <c r="O24" s="2">
        <v>76</v>
      </c>
      <c r="P24" s="2">
        <v>94</v>
      </c>
      <c r="Q24" s="2"/>
      <c r="R24" s="2"/>
      <c r="S24" s="2">
        <v>760</v>
      </c>
      <c r="T24" s="2">
        <v>84.44</v>
      </c>
      <c r="U24" s="2">
        <v>5</v>
      </c>
      <c r="V24" s="2" t="s">
        <v>107</v>
      </c>
      <c r="W24" s="2"/>
    </row>
    <row r="25" spans="1:23" x14ac:dyDescent="0.25">
      <c r="A25" s="1"/>
      <c r="B25" s="2"/>
      <c r="C25" s="2"/>
      <c r="D25" s="2"/>
      <c r="E25" s="2"/>
      <c r="F25" s="2"/>
      <c r="G25" s="2" t="s">
        <v>17</v>
      </c>
      <c r="H25" s="2">
        <v>81</v>
      </c>
      <c r="I25" s="2">
        <v>66</v>
      </c>
      <c r="J25" s="2">
        <v>62</v>
      </c>
      <c r="K25" s="2">
        <v>41</v>
      </c>
      <c r="L25" s="2">
        <v>74</v>
      </c>
      <c r="M25" s="2">
        <v>68</v>
      </c>
      <c r="N25" s="2">
        <v>75</v>
      </c>
      <c r="O25" s="2">
        <v>70</v>
      </c>
      <c r="P25" s="2">
        <v>78</v>
      </c>
      <c r="Q25" s="2"/>
      <c r="R25" s="2"/>
      <c r="S25" s="2">
        <v>615</v>
      </c>
      <c r="T25" s="2">
        <v>68.33</v>
      </c>
      <c r="U25" s="2">
        <v>15</v>
      </c>
      <c r="V25" s="2" t="s">
        <v>20</v>
      </c>
      <c r="W25" s="2"/>
    </row>
    <row r="26" spans="1:23" x14ac:dyDescent="0.25">
      <c r="A26" s="1">
        <v>13</v>
      </c>
      <c r="B26" s="2" t="s">
        <v>320</v>
      </c>
      <c r="C26" s="2"/>
      <c r="D26" s="2"/>
      <c r="E26" s="2" t="s">
        <v>679</v>
      </c>
      <c r="F26" s="2"/>
      <c r="G26" s="2" t="s">
        <v>16</v>
      </c>
      <c r="H26" s="2">
        <v>44</v>
      </c>
      <c r="I26" s="2">
        <v>51</v>
      </c>
      <c r="J26" s="2">
        <v>37</v>
      </c>
      <c r="K26" s="2">
        <v>32</v>
      </c>
      <c r="L26" s="2">
        <v>61</v>
      </c>
      <c r="M26" s="2">
        <v>62</v>
      </c>
      <c r="N26" s="2">
        <v>42</v>
      </c>
      <c r="O26" s="2">
        <v>38</v>
      </c>
      <c r="P26" s="2">
        <v>75</v>
      </c>
      <c r="Q26" s="2"/>
      <c r="R26" s="2"/>
      <c r="S26" s="2">
        <v>442</v>
      </c>
      <c r="T26" s="2">
        <v>49.11</v>
      </c>
      <c r="U26" s="2">
        <v>18</v>
      </c>
      <c r="V26" s="2" t="s">
        <v>20</v>
      </c>
      <c r="W26" s="2"/>
    </row>
    <row r="27" spans="1:23" x14ac:dyDescent="0.25">
      <c r="A27" s="1"/>
      <c r="B27" s="2"/>
      <c r="C27" s="2"/>
      <c r="D27" s="2"/>
      <c r="E27" s="2"/>
      <c r="F27" s="2"/>
      <c r="G27" s="2" t="s">
        <v>17</v>
      </c>
      <c r="H27" s="2">
        <v>53</v>
      </c>
      <c r="I27" s="2">
        <v>37</v>
      </c>
      <c r="J27" s="2">
        <v>62</v>
      </c>
      <c r="K27" s="2">
        <v>37</v>
      </c>
      <c r="L27" s="2">
        <v>42</v>
      </c>
      <c r="M27" s="2">
        <v>48</v>
      </c>
      <c r="N27" s="2">
        <v>43</v>
      </c>
      <c r="O27" s="2">
        <v>57</v>
      </c>
      <c r="P27" s="2">
        <v>66</v>
      </c>
      <c r="Q27" s="2"/>
      <c r="R27" s="2"/>
      <c r="S27" s="2">
        <v>445</v>
      </c>
      <c r="T27" s="2">
        <v>49.44</v>
      </c>
      <c r="U27" s="2">
        <v>20</v>
      </c>
      <c r="V27" s="2" t="s">
        <v>20</v>
      </c>
      <c r="W27" s="2"/>
    </row>
    <row r="28" spans="1:23" x14ac:dyDescent="0.25">
      <c r="A28" s="3">
        <v>14</v>
      </c>
      <c r="B28" s="4" t="s">
        <v>321</v>
      </c>
      <c r="C28" s="4"/>
      <c r="D28" s="4"/>
      <c r="E28" s="4" t="s">
        <v>680</v>
      </c>
      <c r="F28" s="4"/>
      <c r="G28" s="2" t="s">
        <v>16</v>
      </c>
      <c r="H28" s="2">
        <v>100</v>
      </c>
      <c r="I28" s="2">
        <v>86</v>
      </c>
      <c r="J28" s="2">
        <v>96</v>
      </c>
      <c r="K28" s="2">
        <v>96</v>
      </c>
      <c r="L28" s="2">
        <v>100</v>
      </c>
      <c r="M28" s="2">
        <v>86</v>
      </c>
      <c r="N28" s="2">
        <v>88</v>
      </c>
      <c r="O28" s="2">
        <v>76</v>
      </c>
      <c r="P28" s="2">
        <v>97</v>
      </c>
      <c r="Q28" s="2"/>
      <c r="R28" s="2"/>
      <c r="S28" s="2">
        <v>825</v>
      </c>
      <c r="T28" s="2">
        <v>91.66</v>
      </c>
      <c r="U28" s="2">
        <v>2</v>
      </c>
      <c r="V28" s="2" t="s">
        <v>20</v>
      </c>
      <c r="W28" s="4"/>
    </row>
    <row r="29" spans="1:23" x14ac:dyDescent="0.25">
      <c r="A29" s="1"/>
      <c r="B29" s="2"/>
      <c r="C29" s="2"/>
      <c r="D29" s="2"/>
      <c r="E29" s="2"/>
      <c r="F29" s="2"/>
      <c r="G29" s="2" t="s">
        <v>17</v>
      </c>
      <c r="H29" s="2">
        <v>88</v>
      </c>
      <c r="I29" s="2">
        <v>81</v>
      </c>
      <c r="J29" s="2">
        <v>87</v>
      </c>
      <c r="K29" s="2">
        <v>76</v>
      </c>
      <c r="L29" s="2">
        <v>100</v>
      </c>
      <c r="M29" s="2">
        <v>89</v>
      </c>
      <c r="N29" s="2">
        <v>75</v>
      </c>
      <c r="O29" s="2">
        <v>78</v>
      </c>
      <c r="P29" s="2">
        <v>91</v>
      </c>
      <c r="Q29" s="2"/>
      <c r="R29" s="2"/>
      <c r="S29" s="2">
        <v>765</v>
      </c>
      <c r="T29" s="2">
        <v>85</v>
      </c>
      <c r="U29" s="2">
        <v>3</v>
      </c>
      <c r="V29" s="2" t="s">
        <v>20</v>
      </c>
      <c r="W29" s="2"/>
    </row>
    <row r="30" spans="1:23" x14ac:dyDescent="0.25">
      <c r="A30" s="1">
        <v>15</v>
      </c>
      <c r="B30" s="2" t="s">
        <v>322</v>
      </c>
      <c r="C30" s="2"/>
      <c r="D30" s="2"/>
      <c r="E30" s="2" t="s">
        <v>681</v>
      </c>
      <c r="F30" s="2"/>
      <c r="G30" s="2" t="s">
        <v>16</v>
      </c>
      <c r="H30" s="2">
        <v>90</v>
      </c>
      <c r="I30" s="2">
        <v>82</v>
      </c>
      <c r="J30" s="2">
        <v>99</v>
      </c>
      <c r="K30" s="2">
        <v>83</v>
      </c>
      <c r="L30" s="2">
        <v>98</v>
      </c>
      <c r="M30" s="2">
        <v>85</v>
      </c>
      <c r="N30" s="2">
        <v>90</v>
      </c>
      <c r="O30" s="2">
        <v>87</v>
      </c>
      <c r="P30" s="2">
        <v>98</v>
      </c>
      <c r="Q30" s="2"/>
      <c r="R30" s="2"/>
      <c r="S30" s="2">
        <v>812</v>
      </c>
      <c r="T30" s="2">
        <v>90.2</v>
      </c>
      <c r="U30" s="2">
        <v>3</v>
      </c>
      <c r="V30" s="2" t="s">
        <v>20</v>
      </c>
      <c r="W30" s="2"/>
    </row>
    <row r="31" spans="1:23" x14ac:dyDescent="0.25">
      <c r="A31" s="1"/>
      <c r="B31" s="2"/>
      <c r="C31" s="2"/>
      <c r="D31" s="2"/>
      <c r="E31" s="2"/>
      <c r="F31" s="2"/>
      <c r="G31" s="2" t="s">
        <v>17</v>
      </c>
      <c r="H31" s="2">
        <v>94</v>
      </c>
      <c r="I31" s="2">
        <v>78</v>
      </c>
      <c r="J31" s="2">
        <v>84</v>
      </c>
      <c r="K31" s="2">
        <v>61</v>
      </c>
      <c r="L31" s="2">
        <v>100</v>
      </c>
      <c r="M31" s="2">
        <v>89</v>
      </c>
      <c r="N31" s="2">
        <v>84</v>
      </c>
      <c r="O31" s="2">
        <v>85</v>
      </c>
      <c r="P31" s="2">
        <v>90</v>
      </c>
      <c r="Q31" s="2"/>
      <c r="R31" s="2"/>
      <c r="S31" s="2">
        <v>765</v>
      </c>
      <c r="T31" s="2">
        <v>85.88</v>
      </c>
      <c r="U31" s="2">
        <v>3</v>
      </c>
      <c r="V31" s="2" t="s">
        <v>20</v>
      </c>
      <c r="W31" s="2"/>
    </row>
    <row r="32" spans="1:23" x14ac:dyDescent="0.25">
      <c r="A32" s="1">
        <v>16</v>
      </c>
      <c r="B32" s="2" t="s">
        <v>323</v>
      </c>
      <c r="C32" s="2"/>
      <c r="D32" s="2"/>
      <c r="E32" s="2" t="s">
        <v>682</v>
      </c>
      <c r="F32" s="2"/>
      <c r="G32" s="2" t="s">
        <v>16</v>
      </c>
      <c r="H32" s="2">
        <v>78</v>
      </c>
      <c r="I32" s="2">
        <v>66</v>
      </c>
      <c r="J32" s="2">
        <v>73</v>
      </c>
      <c r="K32" s="2">
        <v>45</v>
      </c>
      <c r="L32" s="2">
        <v>62</v>
      </c>
      <c r="M32" s="2">
        <v>71</v>
      </c>
      <c r="N32" s="2">
        <v>71</v>
      </c>
      <c r="O32" s="2">
        <v>67</v>
      </c>
      <c r="P32" s="2">
        <v>86</v>
      </c>
      <c r="Q32" s="2"/>
      <c r="R32" s="2"/>
      <c r="S32" s="2">
        <v>619</v>
      </c>
      <c r="T32" s="2">
        <v>68.7</v>
      </c>
      <c r="U32" s="2">
        <v>14</v>
      </c>
      <c r="V32" s="2" t="s">
        <v>20</v>
      </c>
      <c r="W32" s="2"/>
    </row>
    <row r="33" spans="1:23" x14ac:dyDescent="0.25">
      <c r="A33" s="1"/>
      <c r="B33" s="2"/>
      <c r="C33" s="2"/>
      <c r="D33" s="2"/>
      <c r="E33" s="2"/>
      <c r="F33" s="2"/>
      <c r="G33" s="2" t="s">
        <v>17</v>
      </c>
      <c r="H33" s="2">
        <v>82</v>
      </c>
      <c r="I33" s="2">
        <v>51</v>
      </c>
      <c r="J33" s="2">
        <v>62</v>
      </c>
      <c r="K33" s="2">
        <v>52</v>
      </c>
      <c r="L33" s="2">
        <v>82.5</v>
      </c>
      <c r="M33" s="2">
        <v>90</v>
      </c>
      <c r="N33" s="2">
        <v>77</v>
      </c>
      <c r="O33" s="2">
        <v>82</v>
      </c>
      <c r="P33" s="2">
        <v>78</v>
      </c>
      <c r="Q33" s="2"/>
      <c r="R33" s="2"/>
      <c r="S33" s="2">
        <v>656.5</v>
      </c>
      <c r="T33" s="2">
        <v>72.94</v>
      </c>
      <c r="U33" s="2">
        <v>10</v>
      </c>
      <c r="V33" s="2" t="s">
        <v>20</v>
      </c>
      <c r="W33" s="2"/>
    </row>
    <row r="34" spans="1:23" x14ac:dyDescent="0.25">
      <c r="A34" s="1">
        <v>17</v>
      </c>
      <c r="B34" s="9" t="s">
        <v>324</v>
      </c>
      <c r="C34" s="9"/>
      <c r="D34" s="2"/>
      <c r="E34" s="2" t="s">
        <v>683</v>
      </c>
      <c r="F34" s="2"/>
      <c r="G34" s="2" t="s">
        <v>16</v>
      </c>
      <c r="H34" s="2">
        <v>93</v>
      </c>
      <c r="I34" s="2">
        <v>79</v>
      </c>
      <c r="J34" s="2">
        <v>84</v>
      </c>
      <c r="K34" s="2">
        <v>94</v>
      </c>
      <c r="L34" s="2">
        <v>92</v>
      </c>
      <c r="M34" s="2">
        <v>97</v>
      </c>
      <c r="N34" s="2">
        <v>86</v>
      </c>
      <c r="O34" s="2">
        <v>86</v>
      </c>
      <c r="P34" s="2">
        <v>94</v>
      </c>
      <c r="Q34" s="2"/>
      <c r="R34" s="2"/>
      <c r="S34" s="2">
        <v>805</v>
      </c>
      <c r="T34" s="2">
        <v>89.44</v>
      </c>
      <c r="U34" s="2">
        <v>4</v>
      </c>
      <c r="V34" s="2" t="s">
        <v>23</v>
      </c>
      <c r="W34" s="2"/>
    </row>
    <row r="35" spans="1:23" x14ac:dyDescent="0.25">
      <c r="A35" s="1"/>
      <c r="B35" s="2"/>
      <c r="C35" s="2"/>
      <c r="D35" s="2"/>
      <c r="E35" s="2"/>
      <c r="F35" s="2"/>
      <c r="G35" s="2" t="s">
        <v>17</v>
      </c>
      <c r="H35" s="2">
        <v>89</v>
      </c>
      <c r="I35" s="2">
        <v>81</v>
      </c>
      <c r="J35" s="2">
        <v>83</v>
      </c>
      <c r="K35" s="2">
        <v>75</v>
      </c>
      <c r="L35" s="2">
        <v>100</v>
      </c>
      <c r="M35" s="2">
        <v>98</v>
      </c>
      <c r="N35" s="2">
        <v>85</v>
      </c>
      <c r="O35" s="2">
        <v>96</v>
      </c>
      <c r="P35" s="2">
        <v>95</v>
      </c>
      <c r="Q35" s="2"/>
      <c r="R35" s="2"/>
      <c r="S35" s="2">
        <v>802</v>
      </c>
      <c r="T35" s="2">
        <v>89.11</v>
      </c>
      <c r="U35" s="2">
        <v>2</v>
      </c>
      <c r="V35" s="2" t="s">
        <v>20</v>
      </c>
      <c r="W35" s="2"/>
    </row>
    <row r="36" spans="1:23" x14ac:dyDescent="0.25">
      <c r="A36" s="1">
        <v>18</v>
      </c>
      <c r="B36" s="2" t="s">
        <v>325</v>
      </c>
      <c r="C36" s="2"/>
      <c r="D36" s="2"/>
      <c r="E36" s="2" t="s">
        <v>684</v>
      </c>
      <c r="F36" s="2"/>
      <c r="G36" s="2" t="s">
        <v>16</v>
      </c>
      <c r="H36" s="2">
        <v>103</v>
      </c>
      <c r="I36" s="2">
        <v>90</v>
      </c>
      <c r="J36" s="2">
        <v>93</v>
      </c>
      <c r="K36" s="2">
        <v>97</v>
      </c>
      <c r="L36" s="2">
        <v>100</v>
      </c>
      <c r="M36" s="2">
        <v>100</v>
      </c>
      <c r="N36" s="2">
        <v>94</v>
      </c>
      <c r="O36" s="2">
        <v>92</v>
      </c>
      <c r="P36" s="2">
        <v>100</v>
      </c>
      <c r="Q36" s="2"/>
      <c r="R36" s="2"/>
      <c r="S36" s="2">
        <v>866</v>
      </c>
      <c r="T36" s="2">
        <v>96.22</v>
      </c>
      <c r="U36" s="2">
        <v>1</v>
      </c>
      <c r="V36" s="2" t="s">
        <v>23</v>
      </c>
      <c r="W36" s="2"/>
    </row>
    <row r="37" spans="1:23" x14ac:dyDescent="0.25">
      <c r="A37" s="1"/>
      <c r="B37" s="2"/>
      <c r="C37" s="2"/>
      <c r="D37" s="2"/>
      <c r="E37" s="2"/>
      <c r="F37" s="2"/>
      <c r="G37" s="2" t="s">
        <v>17</v>
      </c>
      <c r="H37" s="2">
        <v>99</v>
      </c>
      <c r="I37" s="2">
        <v>89</v>
      </c>
      <c r="J37" s="2">
        <v>97</v>
      </c>
      <c r="K37" s="2">
        <v>90</v>
      </c>
      <c r="L37" s="2">
        <v>100</v>
      </c>
      <c r="M37" s="2">
        <v>95</v>
      </c>
      <c r="N37" s="2">
        <v>100</v>
      </c>
      <c r="O37" s="2">
        <v>100</v>
      </c>
      <c r="P37" s="2">
        <v>100</v>
      </c>
      <c r="Q37" s="2"/>
      <c r="R37" s="2" t="s">
        <v>19</v>
      </c>
      <c r="S37" s="2">
        <v>870</v>
      </c>
      <c r="T37" s="2">
        <v>96.66</v>
      </c>
      <c r="U37" s="2">
        <v>1</v>
      </c>
      <c r="V37" s="2" t="s">
        <v>20</v>
      </c>
      <c r="W37" s="2"/>
    </row>
    <row r="38" spans="1:23" x14ac:dyDescent="0.25">
      <c r="A38" s="1">
        <v>19</v>
      </c>
      <c r="B38" s="2" t="s">
        <v>326</v>
      </c>
      <c r="C38" s="2"/>
      <c r="D38" s="2"/>
      <c r="E38" s="2" t="s">
        <v>685</v>
      </c>
      <c r="F38" s="2"/>
      <c r="G38" s="2" t="s">
        <v>16</v>
      </c>
      <c r="H38" s="2">
        <v>70</v>
      </c>
      <c r="I38" s="2">
        <v>66</v>
      </c>
      <c r="J38" s="2">
        <v>72</v>
      </c>
      <c r="K38" s="2">
        <v>31</v>
      </c>
      <c r="L38" s="2">
        <v>75</v>
      </c>
      <c r="M38" s="2">
        <v>61</v>
      </c>
      <c r="N38" s="2">
        <v>59</v>
      </c>
      <c r="O38" s="2">
        <v>52</v>
      </c>
      <c r="P38" s="2">
        <v>91</v>
      </c>
      <c r="Q38" s="2"/>
      <c r="R38" s="2"/>
      <c r="S38" s="2">
        <v>577</v>
      </c>
      <c r="T38" s="2">
        <v>64.11</v>
      </c>
      <c r="U38" s="2">
        <v>16</v>
      </c>
      <c r="V38" s="2" t="s">
        <v>20</v>
      </c>
      <c r="W38" s="2"/>
    </row>
    <row r="39" spans="1:23" x14ac:dyDescent="0.25">
      <c r="A39" s="1"/>
      <c r="B39" s="2"/>
      <c r="C39" s="2"/>
      <c r="D39" s="2"/>
      <c r="E39" s="2"/>
      <c r="F39" s="2"/>
      <c r="G39" s="2" t="s">
        <v>17</v>
      </c>
      <c r="H39" s="2">
        <v>83</v>
      </c>
      <c r="I39" s="2">
        <v>58</v>
      </c>
      <c r="J39" s="2">
        <v>59</v>
      </c>
      <c r="K39" s="2">
        <v>42</v>
      </c>
      <c r="L39" s="2">
        <v>60.5</v>
      </c>
      <c r="M39" s="2">
        <v>67</v>
      </c>
      <c r="N39" s="2">
        <v>55</v>
      </c>
      <c r="O39" s="2">
        <v>57</v>
      </c>
      <c r="P39" s="2">
        <v>88</v>
      </c>
      <c r="Q39" s="2"/>
      <c r="R39" s="2"/>
      <c r="S39" s="2">
        <v>569.5</v>
      </c>
      <c r="T39" s="2">
        <v>63.27</v>
      </c>
      <c r="U39" s="2">
        <v>17</v>
      </c>
      <c r="V39" s="2" t="s">
        <v>20</v>
      </c>
      <c r="W39" s="2"/>
    </row>
    <row r="40" spans="1:23" x14ac:dyDescent="0.25">
      <c r="A40" s="1">
        <v>20</v>
      </c>
      <c r="B40" s="2" t="s">
        <v>327</v>
      </c>
      <c r="C40" s="2"/>
      <c r="D40" s="2"/>
      <c r="E40" s="2" t="s">
        <v>686</v>
      </c>
      <c r="F40" s="2"/>
      <c r="G40" s="2" t="s">
        <v>16</v>
      </c>
      <c r="H40" s="2">
        <v>79</v>
      </c>
      <c r="I40" s="2">
        <v>74</v>
      </c>
      <c r="J40" s="2">
        <v>42</v>
      </c>
      <c r="K40" s="2">
        <v>34</v>
      </c>
      <c r="L40" s="2">
        <v>60</v>
      </c>
      <c r="M40" s="2">
        <v>70</v>
      </c>
      <c r="N40" s="2">
        <v>63</v>
      </c>
      <c r="O40" s="2">
        <v>45</v>
      </c>
      <c r="P40" s="2">
        <v>92</v>
      </c>
      <c r="Q40" s="2"/>
      <c r="R40" s="2"/>
      <c r="S40" s="2">
        <v>559</v>
      </c>
      <c r="T40" s="2">
        <v>62.11</v>
      </c>
      <c r="U40" s="2">
        <v>17</v>
      </c>
      <c r="V40" s="2" t="s">
        <v>20</v>
      </c>
      <c r="W40" s="2"/>
    </row>
    <row r="41" spans="1:23" x14ac:dyDescent="0.25">
      <c r="A41" s="1"/>
      <c r="B41" s="2"/>
      <c r="C41" s="2"/>
      <c r="D41" s="2"/>
      <c r="E41" s="2"/>
      <c r="F41" s="2"/>
      <c r="G41" s="2" t="s">
        <v>17</v>
      </c>
      <c r="H41" s="2">
        <v>60</v>
      </c>
      <c r="I41" s="2">
        <v>55</v>
      </c>
      <c r="J41" s="2">
        <v>59</v>
      </c>
      <c r="K41" s="2">
        <v>42</v>
      </c>
      <c r="L41" s="2">
        <v>57.5</v>
      </c>
      <c r="M41" s="2">
        <v>80</v>
      </c>
      <c r="N41" s="2">
        <v>63</v>
      </c>
      <c r="O41" s="2">
        <v>64</v>
      </c>
      <c r="P41" s="2">
        <v>75</v>
      </c>
      <c r="Q41" s="2"/>
      <c r="R41" s="2"/>
      <c r="S41" s="2">
        <v>555.5</v>
      </c>
      <c r="T41" s="2">
        <v>61.72</v>
      </c>
      <c r="U41" s="2">
        <v>18</v>
      </c>
      <c r="V41" s="2" t="s">
        <v>20</v>
      </c>
      <c r="W41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G1A</vt:lpstr>
      <vt:lpstr>G1B</vt:lpstr>
      <vt:lpstr>G2A</vt:lpstr>
      <vt:lpstr>G3A</vt:lpstr>
      <vt:lpstr>G3B</vt:lpstr>
      <vt:lpstr>G4A</vt:lpstr>
      <vt:lpstr>G5A</vt:lpstr>
      <vt:lpstr>G5B</vt:lpstr>
      <vt:lpstr>G6A</vt:lpstr>
      <vt:lpstr>G6B</vt:lpstr>
      <vt:lpstr>G7A</vt:lpstr>
      <vt:lpstr>G8A</vt:lpstr>
      <vt:lpstr>G8B</vt:lpstr>
      <vt:lpstr>G9A</vt:lpstr>
      <vt:lpstr>G10A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userpc</cp:lastModifiedBy>
  <cp:lastPrinted>2017-02-14T01:57:37Z</cp:lastPrinted>
  <dcterms:created xsi:type="dcterms:W3CDTF">2017-02-03T02:18:47Z</dcterms:created>
  <dcterms:modified xsi:type="dcterms:W3CDTF">2017-02-21T14:31:52Z</dcterms:modified>
</cp:coreProperties>
</file>